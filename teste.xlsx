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Dados diários e Semanais\Manutenção - MMH_MMR e PRIME\MMH\07 - JULHO\"/>
    </mc:Choice>
  </mc:AlternateContent>
  <xr:revisionPtr revIDLastSave="0" documentId="13_ncr:1_{642A0FFD-DA6A-41C1-AF41-E8CB424650E8}" xr6:coauthVersionLast="47" xr6:coauthVersionMax="47" xr10:uidLastSave="{00000000-0000-0000-0000-000000000000}"/>
  <bookViews>
    <workbookView xWindow="-120" yWindow="-120" windowWidth="29040" windowHeight="15720" firstSheet="14" activeTab="14" xr2:uid="{6874A096-C747-4BF1-A845-36B0A9C19840}"/>
  </bookViews>
  <sheets>
    <sheet name="JUNHO1" sheetId="1" state="hidden" r:id="rId1"/>
    <sheet name="JULHO1" sheetId="3" state="hidden" r:id="rId2"/>
    <sheet name="AGOSTO1" sheetId="4" state="hidden" r:id="rId3"/>
    <sheet name="SETEMBRO" sheetId="5" state="hidden" r:id="rId4"/>
    <sheet name="OUTUBRO" sheetId="6" state="hidden" r:id="rId5"/>
    <sheet name="NOVEMBRO" sheetId="7" state="hidden" r:id="rId6"/>
    <sheet name="DEZEMBRO" sheetId="8" state="hidden" r:id="rId7"/>
    <sheet name="JAN-26" sheetId="16" state="hidden" r:id="rId8"/>
    <sheet name="FEV-26" sheetId="9" state="hidden" r:id="rId9"/>
    <sheet name="MAR-26" sheetId="17" state="hidden" r:id="rId10"/>
    <sheet name="ABR-26" sheetId="18" state="hidden" r:id="rId11"/>
    <sheet name="MAI-26" sheetId="19" state="hidden" r:id="rId12"/>
    <sheet name="JUN-26" sheetId="20" state="hidden" r:id="rId13"/>
    <sheet name="Planilha1" sheetId="22" state="hidden" r:id="rId14"/>
    <sheet name="JUL-26" sheetId="21" r:id="rId15"/>
    <sheet name="AGO-26" sheetId="23" state="hidden" r:id="rId16"/>
    <sheet name="FEVEREIRO" sheetId="10" state="hidden" r:id="rId17"/>
    <sheet name="MARÇO" sheetId="11" state="hidden" r:id="rId18"/>
    <sheet name="ABRIL" sheetId="12" state="hidden" r:id="rId19"/>
    <sheet name="MAIO" sheetId="15" state="hidden" r:id="rId20"/>
    <sheet name="JUNHO" sheetId="13" state="hidden" r:id="rId21"/>
    <sheet name="JULHO" sheetId="14" state="hidden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20" l="1"/>
  <c r="E33" i="23"/>
  <c r="C33" i="23"/>
  <c r="D32" i="23"/>
  <c r="F32" i="23" s="1"/>
  <c r="D31" i="23"/>
  <c r="F31" i="23" s="1"/>
  <c r="D30" i="23"/>
  <c r="F30" i="23" s="1"/>
  <c r="D29" i="23"/>
  <c r="G29" i="23" s="1"/>
  <c r="D28" i="23"/>
  <c r="F28" i="23" s="1"/>
  <c r="D27" i="23"/>
  <c r="G27" i="23" s="1"/>
  <c r="D26" i="23"/>
  <c r="F26" i="23" s="1"/>
  <c r="G25" i="23"/>
  <c r="D25" i="23"/>
  <c r="F25" i="23" s="1"/>
  <c r="D24" i="23"/>
  <c r="F24" i="23" s="1"/>
  <c r="D23" i="23"/>
  <c r="G23" i="23" s="1"/>
  <c r="G22" i="23"/>
  <c r="D22" i="23"/>
  <c r="F22" i="23" s="1"/>
  <c r="D21" i="23"/>
  <c r="G21" i="23" s="1"/>
  <c r="D20" i="23"/>
  <c r="F20" i="23" s="1"/>
  <c r="D19" i="23"/>
  <c r="G19" i="23" s="1"/>
  <c r="G18" i="23"/>
  <c r="D18" i="23"/>
  <c r="F18" i="23" s="1"/>
  <c r="D17" i="23"/>
  <c r="G17" i="23" s="1"/>
  <c r="D16" i="23"/>
  <c r="F16" i="23" s="1"/>
  <c r="D15" i="23"/>
  <c r="G15" i="23" s="1"/>
  <c r="D14" i="23"/>
  <c r="F14" i="23" s="1"/>
  <c r="G13" i="23"/>
  <c r="D13" i="23"/>
  <c r="F13" i="23" s="1"/>
  <c r="D12" i="23"/>
  <c r="F12" i="23" s="1"/>
  <c r="D11" i="23"/>
  <c r="G11" i="23" s="1"/>
  <c r="D10" i="23"/>
  <c r="F10" i="23" s="1"/>
  <c r="D9" i="23"/>
  <c r="G9" i="23" s="1"/>
  <c r="D8" i="23"/>
  <c r="F8" i="23" s="1"/>
  <c r="F7" i="23"/>
  <c r="D7" i="23"/>
  <c r="G7" i="23" s="1"/>
  <c r="D6" i="23"/>
  <c r="F6" i="23" s="1"/>
  <c r="D5" i="23"/>
  <c r="G5" i="23" s="1"/>
  <c r="D4" i="23"/>
  <c r="F4" i="23" s="1"/>
  <c r="G3" i="23"/>
  <c r="D3" i="23"/>
  <c r="F3" i="23" s="1"/>
  <c r="D2" i="23"/>
  <c r="F2" i="23" s="1"/>
  <c r="E32" i="20"/>
  <c r="E33" i="21"/>
  <c r="J3" i="18"/>
  <c r="C33" i="17"/>
  <c r="E32" i="18"/>
  <c r="E30" i="9"/>
  <c r="C33" i="21"/>
  <c r="D32" i="21"/>
  <c r="G32" i="21" s="1"/>
  <c r="D31" i="21"/>
  <c r="G31" i="21" s="1"/>
  <c r="D30" i="21"/>
  <c r="G30" i="21" s="1"/>
  <c r="D29" i="21"/>
  <c r="G29" i="21" s="1"/>
  <c r="D28" i="21"/>
  <c r="G28" i="21" s="1"/>
  <c r="D27" i="21"/>
  <c r="F27" i="21" s="1"/>
  <c r="D26" i="21"/>
  <c r="G26" i="21" s="1"/>
  <c r="D25" i="21"/>
  <c r="F25" i="21" s="1"/>
  <c r="D24" i="21"/>
  <c r="G24" i="21" s="1"/>
  <c r="D23" i="21"/>
  <c r="F23" i="21" s="1"/>
  <c r="D22" i="21"/>
  <c r="G22" i="21" s="1"/>
  <c r="D21" i="21"/>
  <c r="F21" i="21" s="1"/>
  <c r="D20" i="21"/>
  <c r="G20" i="21" s="1"/>
  <c r="D19" i="21"/>
  <c r="F19" i="21" s="1"/>
  <c r="D18" i="21"/>
  <c r="G18" i="21" s="1"/>
  <c r="D17" i="21"/>
  <c r="F17" i="21" s="1"/>
  <c r="D16" i="21"/>
  <c r="G16" i="21" s="1"/>
  <c r="D15" i="21"/>
  <c r="F15" i="21" s="1"/>
  <c r="D14" i="21"/>
  <c r="G14" i="21" s="1"/>
  <c r="D13" i="21"/>
  <c r="F13" i="21" s="1"/>
  <c r="D12" i="21"/>
  <c r="G12" i="21" s="1"/>
  <c r="D11" i="21"/>
  <c r="F11" i="21" s="1"/>
  <c r="D10" i="21"/>
  <c r="G10" i="21" s="1"/>
  <c r="D9" i="21"/>
  <c r="F9" i="21" s="1"/>
  <c r="D8" i="21"/>
  <c r="G8" i="21" s="1"/>
  <c r="D7" i="21"/>
  <c r="G7" i="21" s="1"/>
  <c r="D6" i="21"/>
  <c r="G6" i="21" s="1"/>
  <c r="D5" i="21"/>
  <c r="F5" i="21" s="1"/>
  <c r="D4" i="21"/>
  <c r="G4" i="21" s="1"/>
  <c r="D3" i="21"/>
  <c r="F3" i="21" s="1"/>
  <c r="D2" i="21"/>
  <c r="G2" i="21" s="1"/>
  <c r="D31" i="20"/>
  <c r="G31" i="20" s="1"/>
  <c r="D30" i="20"/>
  <c r="G30" i="20" s="1"/>
  <c r="D29" i="20"/>
  <c r="F29" i="20" s="1"/>
  <c r="D28" i="20"/>
  <c r="G28" i="20" s="1"/>
  <c r="D27" i="20"/>
  <c r="G27" i="20" s="1"/>
  <c r="D26" i="20"/>
  <c r="G26" i="20" s="1"/>
  <c r="D25" i="20"/>
  <c r="F25" i="20" s="1"/>
  <c r="D24" i="20"/>
  <c r="G24" i="20" s="1"/>
  <c r="D23" i="20"/>
  <c r="G23" i="20" s="1"/>
  <c r="D22" i="20"/>
  <c r="G22" i="20" s="1"/>
  <c r="D21" i="20"/>
  <c r="F21" i="20" s="1"/>
  <c r="D20" i="20"/>
  <c r="G20" i="20" s="1"/>
  <c r="D19" i="20"/>
  <c r="G19" i="20" s="1"/>
  <c r="D18" i="20"/>
  <c r="G18" i="20" s="1"/>
  <c r="D17" i="20"/>
  <c r="F17" i="20" s="1"/>
  <c r="D16" i="20"/>
  <c r="G16" i="20" s="1"/>
  <c r="D15" i="20"/>
  <c r="G15" i="20" s="1"/>
  <c r="D14" i="20"/>
  <c r="G14" i="20" s="1"/>
  <c r="D13" i="20"/>
  <c r="F13" i="20" s="1"/>
  <c r="D12" i="20"/>
  <c r="G12" i="20" s="1"/>
  <c r="D11" i="20"/>
  <c r="G11" i="20" s="1"/>
  <c r="D10" i="20"/>
  <c r="G10" i="20" s="1"/>
  <c r="D9" i="20"/>
  <c r="F9" i="20" s="1"/>
  <c r="D8" i="20"/>
  <c r="G8" i="20" s="1"/>
  <c r="D7" i="20"/>
  <c r="G7" i="20" s="1"/>
  <c r="D6" i="20"/>
  <c r="G6" i="20" s="1"/>
  <c r="D5" i="20"/>
  <c r="F5" i="20" s="1"/>
  <c r="D4" i="20"/>
  <c r="G4" i="20" s="1"/>
  <c r="D3" i="20"/>
  <c r="G3" i="20" s="1"/>
  <c r="D2" i="20"/>
  <c r="G2" i="20" s="1"/>
  <c r="E33" i="19"/>
  <c r="C33" i="19"/>
  <c r="D32" i="19"/>
  <c r="G32" i="19" s="1"/>
  <c r="D31" i="19"/>
  <c r="G31" i="19" s="1"/>
  <c r="D30" i="19"/>
  <c r="G30" i="19" s="1"/>
  <c r="D29" i="19"/>
  <c r="F29" i="19" s="1"/>
  <c r="D28" i="19"/>
  <c r="G28" i="19" s="1"/>
  <c r="D27" i="19"/>
  <c r="F27" i="19" s="1"/>
  <c r="D26" i="19"/>
  <c r="G26" i="19" s="1"/>
  <c r="D25" i="19"/>
  <c r="F25" i="19" s="1"/>
  <c r="D24" i="19"/>
  <c r="F24" i="19" s="1"/>
  <c r="D23" i="19"/>
  <c r="G23" i="19" s="1"/>
  <c r="D22" i="19"/>
  <c r="G22" i="19" s="1"/>
  <c r="D21" i="19"/>
  <c r="F21" i="19" s="1"/>
  <c r="D20" i="19"/>
  <c r="G20" i="19" s="1"/>
  <c r="D19" i="19"/>
  <c r="G19" i="19" s="1"/>
  <c r="D18" i="19"/>
  <c r="G18" i="19" s="1"/>
  <c r="D17" i="19"/>
  <c r="F17" i="19" s="1"/>
  <c r="D16" i="19"/>
  <c r="F16" i="19" s="1"/>
  <c r="D15" i="19"/>
  <c r="G15" i="19" s="1"/>
  <c r="D14" i="19"/>
  <c r="G14" i="19" s="1"/>
  <c r="D13" i="19"/>
  <c r="F13" i="19" s="1"/>
  <c r="D12" i="19"/>
  <c r="G12" i="19" s="1"/>
  <c r="D11" i="19"/>
  <c r="G11" i="19" s="1"/>
  <c r="D10" i="19"/>
  <c r="G10" i="19" s="1"/>
  <c r="D9" i="19"/>
  <c r="F9" i="19" s="1"/>
  <c r="D8" i="19"/>
  <c r="G8" i="19" s="1"/>
  <c r="D7" i="19"/>
  <c r="G7" i="19" s="1"/>
  <c r="D6" i="19"/>
  <c r="G6" i="19" s="1"/>
  <c r="D5" i="19"/>
  <c r="F5" i="19" s="1"/>
  <c r="D4" i="19"/>
  <c r="G4" i="19" s="1"/>
  <c r="D3" i="19"/>
  <c r="G3" i="19" s="1"/>
  <c r="D2" i="19"/>
  <c r="G2" i="19" s="1"/>
  <c r="C32" i="18"/>
  <c r="J4" i="18" s="1"/>
  <c r="D31" i="18"/>
  <c r="G31" i="18" s="1"/>
  <c r="D30" i="18"/>
  <c r="G30" i="18" s="1"/>
  <c r="D29" i="18"/>
  <c r="F29" i="18" s="1"/>
  <c r="D28" i="18"/>
  <c r="G28" i="18" s="1"/>
  <c r="D27" i="18"/>
  <c r="G27" i="18" s="1"/>
  <c r="D26" i="18"/>
  <c r="F26" i="18" s="1"/>
  <c r="D25" i="18"/>
  <c r="F25" i="18" s="1"/>
  <c r="D24" i="18"/>
  <c r="G24" i="18" s="1"/>
  <c r="D23" i="18"/>
  <c r="G23" i="18" s="1"/>
  <c r="D22" i="18"/>
  <c r="F22" i="18" s="1"/>
  <c r="D21" i="18"/>
  <c r="F21" i="18" s="1"/>
  <c r="D20" i="18"/>
  <c r="G20" i="18" s="1"/>
  <c r="D19" i="18"/>
  <c r="G19" i="18" s="1"/>
  <c r="D18" i="18"/>
  <c r="F18" i="18" s="1"/>
  <c r="D17" i="18"/>
  <c r="F17" i="18" s="1"/>
  <c r="D16" i="18"/>
  <c r="G16" i="18" s="1"/>
  <c r="D15" i="18"/>
  <c r="G15" i="18" s="1"/>
  <c r="D14" i="18"/>
  <c r="G14" i="18" s="1"/>
  <c r="D13" i="18"/>
  <c r="F13" i="18" s="1"/>
  <c r="D12" i="18"/>
  <c r="G12" i="18" s="1"/>
  <c r="D11" i="18"/>
  <c r="G11" i="18" s="1"/>
  <c r="D10" i="18"/>
  <c r="G10" i="18" s="1"/>
  <c r="D9" i="18"/>
  <c r="F9" i="18" s="1"/>
  <c r="D8" i="18"/>
  <c r="G8" i="18" s="1"/>
  <c r="D7" i="18"/>
  <c r="G7" i="18" s="1"/>
  <c r="D6" i="18"/>
  <c r="G6" i="18" s="1"/>
  <c r="D5" i="18"/>
  <c r="G5" i="18" s="1"/>
  <c r="D4" i="18"/>
  <c r="G4" i="18" s="1"/>
  <c r="D3" i="18"/>
  <c r="G3" i="18" s="1"/>
  <c r="D2" i="18"/>
  <c r="G2" i="18" s="1"/>
  <c r="E33" i="17"/>
  <c r="D32" i="17"/>
  <c r="G32" i="17" s="1"/>
  <c r="D31" i="17"/>
  <c r="F31" i="17" s="1"/>
  <c r="D30" i="17"/>
  <c r="G30" i="17" s="1"/>
  <c r="D29" i="17"/>
  <c r="F29" i="17" s="1"/>
  <c r="D28" i="17"/>
  <c r="G28" i="17" s="1"/>
  <c r="D27" i="17"/>
  <c r="F27" i="17" s="1"/>
  <c r="D26" i="17"/>
  <c r="G26" i="17" s="1"/>
  <c r="D25" i="17"/>
  <c r="F25" i="17" s="1"/>
  <c r="D24" i="17"/>
  <c r="G24" i="17" s="1"/>
  <c r="D23" i="17"/>
  <c r="F23" i="17" s="1"/>
  <c r="D22" i="17"/>
  <c r="G22" i="17" s="1"/>
  <c r="D21" i="17"/>
  <c r="F21" i="17" s="1"/>
  <c r="D20" i="17"/>
  <c r="G20" i="17" s="1"/>
  <c r="D19" i="17"/>
  <c r="F19" i="17" s="1"/>
  <c r="D18" i="17"/>
  <c r="G18" i="17" s="1"/>
  <c r="D17" i="17"/>
  <c r="F17" i="17" s="1"/>
  <c r="D16" i="17"/>
  <c r="G16" i="17" s="1"/>
  <c r="D15" i="17"/>
  <c r="F15" i="17" s="1"/>
  <c r="D14" i="17"/>
  <c r="G14" i="17" s="1"/>
  <c r="D13" i="17"/>
  <c r="F13" i="17" s="1"/>
  <c r="D12" i="17"/>
  <c r="G12" i="17" s="1"/>
  <c r="D11" i="17"/>
  <c r="F11" i="17" s="1"/>
  <c r="D10" i="17"/>
  <c r="G10" i="17" s="1"/>
  <c r="D9" i="17"/>
  <c r="F9" i="17" s="1"/>
  <c r="D8" i="17"/>
  <c r="G8" i="17" s="1"/>
  <c r="D7" i="17"/>
  <c r="F7" i="17" s="1"/>
  <c r="D6" i="17"/>
  <c r="G6" i="17" s="1"/>
  <c r="D5" i="17"/>
  <c r="F5" i="17" s="1"/>
  <c r="D4" i="17"/>
  <c r="G4" i="17" s="1"/>
  <c r="D3" i="17"/>
  <c r="F3" i="17" s="1"/>
  <c r="D2" i="17"/>
  <c r="G2" i="17" s="1"/>
  <c r="F23" i="16"/>
  <c r="E33" i="16"/>
  <c r="C33" i="16"/>
  <c r="D32" i="16"/>
  <c r="G32" i="16" s="1"/>
  <c r="D31" i="16"/>
  <c r="G31" i="16" s="1"/>
  <c r="D30" i="16"/>
  <c r="G30" i="16" s="1"/>
  <c r="G29" i="16"/>
  <c r="D29" i="16"/>
  <c r="F29" i="16" s="1"/>
  <c r="D28" i="16"/>
  <c r="G28" i="16" s="1"/>
  <c r="D27" i="16"/>
  <c r="G27" i="16" s="1"/>
  <c r="D26" i="16"/>
  <c r="G26" i="16" s="1"/>
  <c r="G25" i="16"/>
  <c r="D25" i="16"/>
  <c r="F25" i="16" s="1"/>
  <c r="D24" i="16"/>
  <c r="G24" i="16" s="1"/>
  <c r="D23" i="16"/>
  <c r="G23" i="16" s="1"/>
  <c r="D22" i="16"/>
  <c r="F22" i="16" s="1"/>
  <c r="G21" i="16"/>
  <c r="D21" i="16"/>
  <c r="F21" i="16" s="1"/>
  <c r="D20" i="16"/>
  <c r="G20" i="16" s="1"/>
  <c r="D19" i="16"/>
  <c r="G19" i="16" s="1"/>
  <c r="D18" i="16"/>
  <c r="G18" i="16" s="1"/>
  <c r="G17" i="16"/>
  <c r="D17" i="16"/>
  <c r="F17" i="16" s="1"/>
  <c r="D16" i="16"/>
  <c r="G16" i="16" s="1"/>
  <c r="D15" i="16"/>
  <c r="G15" i="16" s="1"/>
  <c r="D14" i="16"/>
  <c r="G14" i="16" s="1"/>
  <c r="G13" i="16"/>
  <c r="D13" i="16"/>
  <c r="F13" i="16" s="1"/>
  <c r="D12" i="16"/>
  <c r="G12" i="16" s="1"/>
  <c r="D11" i="16"/>
  <c r="G11" i="16" s="1"/>
  <c r="D10" i="16"/>
  <c r="G10" i="16" s="1"/>
  <c r="G9" i="16"/>
  <c r="D9" i="16"/>
  <c r="F9" i="16" s="1"/>
  <c r="D8" i="16"/>
  <c r="G8" i="16" s="1"/>
  <c r="D7" i="16"/>
  <c r="G7" i="16" s="1"/>
  <c r="D6" i="16"/>
  <c r="G6" i="16" s="1"/>
  <c r="G5" i="16"/>
  <c r="D5" i="16"/>
  <c r="F5" i="16" s="1"/>
  <c r="D4" i="16"/>
  <c r="G4" i="16" s="1"/>
  <c r="D3" i="16"/>
  <c r="G3" i="16" s="1"/>
  <c r="D2" i="16"/>
  <c r="G2" i="16" s="1"/>
  <c r="E33" i="14"/>
  <c r="E32" i="13"/>
  <c r="E33" i="15"/>
  <c r="E32" i="12"/>
  <c r="E33" i="11"/>
  <c r="E30" i="10"/>
  <c r="E33" i="8"/>
  <c r="C33" i="15"/>
  <c r="D32" i="15"/>
  <c r="G32" i="15" s="1"/>
  <c r="D31" i="15"/>
  <c r="G31" i="15" s="1"/>
  <c r="D30" i="15"/>
  <c r="G30" i="15" s="1"/>
  <c r="D29" i="15"/>
  <c r="G29" i="15" s="1"/>
  <c r="D28" i="15"/>
  <c r="G28" i="15" s="1"/>
  <c r="D27" i="15"/>
  <c r="G27" i="15" s="1"/>
  <c r="D26" i="15"/>
  <c r="G26" i="15" s="1"/>
  <c r="D25" i="15"/>
  <c r="G25" i="15" s="1"/>
  <c r="D24" i="15"/>
  <c r="G24" i="15" s="1"/>
  <c r="D23" i="15"/>
  <c r="G23" i="15" s="1"/>
  <c r="D22" i="15"/>
  <c r="G22" i="15" s="1"/>
  <c r="D21" i="15"/>
  <c r="G21" i="15" s="1"/>
  <c r="D20" i="15"/>
  <c r="G20" i="15" s="1"/>
  <c r="D19" i="15"/>
  <c r="G19" i="15" s="1"/>
  <c r="D18" i="15"/>
  <c r="G18" i="15" s="1"/>
  <c r="D17" i="15"/>
  <c r="G17" i="15" s="1"/>
  <c r="D16" i="15"/>
  <c r="G16" i="15" s="1"/>
  <c r="D15" i="15"/>
  <c r="G15" i="15" s="1"/>
  <c r="D14" i="15"/>
  <c r="G14" i="15" s="1"/>
  <c r="D13" i="15"/>
  <c r="G13" i="15" s="1"/>
  <c r="D12" i="15"/>
  <c r="D11" i="15"/>
  <c r="G11" i="15" s="1"/>
  <c r="D10" i="15"/>
  <c r="G10" i="15" s="1"/>
  <c r="D9" i="15"/>
  <c r="G9" i="15" s="1"/>
  <c r="D8" i="15"/>
  <c r="G8" i="15" s="1"/>
  <c r="D7" i="15"/>
  <c r="G7" i="15" s="1"/>
  <c r="D6" i="15"/>
  <c r="G6" i="15" s="1"/>
  <c r="D5" i="15"/>
  <c r="G5" i="15" s="1"/>
  <c r="D4" i="15"/>
  <c r="G4" i="15" s="1"/>
  <c r="D3" i="15"/>
  <c r="G3" i="15" s="1"/>
  <c r="D2" i="15"/>
  <c r="G2" i="15" s="1"/>
  <c r="C33" i="14"/>
  <c r="D32" i="14"/>
  <c r="G32" i="14" s="1"/>
  <c r="G31" i="14"/>
  <c r="D31" i="14"/>
  <c r="F31" i="14" s="1"/>
  <c r="D30" i="14"/>
  <c r="F30" i="14" s="1"/>
  <c r="D29" i="14"/>
  <c r="G29" i="14" s="1"/>
  <c r="D28" i="14"/>
  <c r="F28" i="14" s="1"/>
  <c r="D27" i="14"/>
  <c r="D26" i="14"/>
  <c r="G26" i="14" s="1"/>
  <c r="D25" i="14"/>
  <c r="D24" i="14"/>
  <c r="F24" i="14" s="1"/>
  <c r="D23" i="14"/>
  <c r="G23" i="14" s="1"/>
  <c r="D22" i="14"/>
  <c r="G22" i="14" s="1"/>
  <c r="D21" i="14"/>
  <c r="D20" i="14"/>
  <c r="F20" i="14" s="1"/>
  <c r="D19" i="14"/>
  <c r="D18" i="14"/>
  <c r="G18" i="14" s="1"/>
  <c r="D17" i="14"/>
  <c r="G17" i="14" s="1"/>
  <c r="D16" i="14"/>
  <c r="F16" i="14" s="1"/>
  <c r="D15" i="14"/>
  <c r="D14" i="14"/>
  <c r="G14" i="14" s="1"/>
  <c r="D13" i="14"/>
  <c r="D12" i="14"/>
  <c r="F12" i="14" s="1"/>
  <c r="D11" i="14"/>
  <c r="G11" i="14" s="1"/>
  <c r="D10" i="14"/>
  <c r="G10" i="14" s="1"/>
  <c r="D9" i="14"/>
  <c r="D8" i="14"/>
  <c r="F8" i="14" s="1"/>
  <c r="D7" i="14"/>
  <c r="D6" i="14"/>
  <c r="G6" i="14" s="1"/>
  <c r="D5" i="14"/>
  <c r="G5" i="14" s="1"/>
  <c r="D4" i="14"/>
  <c r="F4" i="14" s="1"/>
  <c r="D3" i="14"/>
  <c r="D2" i="14"/>
  <c r="G2" i="14" s="1"/>
  <c r="C32" i="13"/>
  <c r="D31" i="13"/>
  <c r="G31" i="13" s="1"/>
  <c r="D30" i="13"/>
  <c r="G30" i="13" s="1"/>
  <c r="D29" i="13"/>
  <c r="G29" i="13" s="1"/>
  <c r="D28" i="13"/>
  <c r="G28" i="13" s="1"/>
  <c r="D27" i="13"/>
  <c r="G27" i="13" s="1"/>
  <c r="D26" i="13"/>
  <c r="G26" i="13" s="1"/>
  <c r="D25" i="13"/>
  <c r="G25" i="13" s="1"/>
  <c r="D24" i="13"/>
  <c r="G24" i="13" s="1"/>
  <c r="D23" i="13"/>
  <c r="G23" i="13" s="1"/>
  <c r="D22" i="13"/>
  <c r="G22" i="13" s="1"/>
  <c r="D21" i="13"/>
  <c r="G21" i="13" s="1"/>
  <c r="D20" i="13"/>
  <c r="G20" i="13" s="1"/>
  <c r="D19" i="13"/>
  <c r="G19" i="13" s="1"/>
  <c r="D18" i="13"/>
  <c r="G18" i="13" s="1"/>
  <c r="F17" i="13"/>
  <c r="D17" i="13"/>
  <c r="G17" i="13" s="1"/>
  <c r="D16" i="13"/>
  <c r="G16" i="13" s="1"/>
  <c r="D15" i="13"/>
  <c r="G15" i="13" s="1"/>
  <c r="D14" i="13"/>
  <c r="G14" i="13" s="1"/>
  <c r="D13" i="13"/>
  <c r="G13" i="13" s="1"/>
  <c r="D12" i="13"/>
  <c r="G12" i="13" s="1"/>
  <c r="D11" i="13"/>
  <c r="D10" i="13"/>
  <c r="G10" i="13" s="1"/>
  <c r="D9" i="13"/>
  <c r="G9" i="13" s="1"/>
  <c r="D8" i="13"/>
  <c r="G8" i="13" s="1"/>
  <c r="D7" i="13"/>
  <c r="G7" i="13" s="1"/>
  <c r="D6" i="13"/>
  <c r="G6" i="13" s="1"/>
  <c r="D5" i="13"/>
  <c r="G5" i="13" s="1"/>
  <c r="D4" i="13"/>
  <c r="G4" i="13" s="1"/>
  <c r="D3" i="13"/>
  <c r="G3" i="13" s="1"/>
  <c r="D2" i="13"/>
  <c r="G2" i="13" s="1"/>
  <c r="C32" i="12"/>
  <c r="D31" i="12"/>
  <c r="G31" i="12" s="1"/>
  <c r="G30" i="12"/>
  <c r="D30" i="12"/>
  <c r="F30" i="12" s="1"/>
  <c r="D29" i="12"/>
  <c r="G29" i="12" s="1"/>
  <c r="G28" i="12"/>
  <c r="D28" i="12"/>
  <c r="F28" i="12" s="1"/>
  <c r="D27" i="12"/>
  <c r="G27" i="12" s="1"/>
  <c r="G26" i="12"/>
  <c r="D26" i="12"/>
  <c r="F26" i="12" s="1"/>
  <c r="D25" i="12"/>
  <c r="G25" i="12" s="1"/>
  <c r="G24" i="12"/>
  <c r="D24" i="12"/>
  <c r="F24" i="12" s="1"/>
  <c r="D23" i="12"/>
  <c r="G23" i="12" s="1"/>
  <c r="G22" i="12"/>
  <c r="D22" i="12"/>
  <c r="F22" i="12" s="1"/>
  <c r="D21" i="12"/>
  <c r="G21" i="12" s="1"/>
  <c r="G20" i="12"/>
  <c r="D20" i="12"/>
  <c r="F20" i="12" s="1"/>
  <c r="D19" i="12"/>
  <c r="G19" i="12" s="1"/>
  <c r="G18" i="12"/>
  <c r="D18" i="12"/>
  <c r="F18" i="12" s="1"/>
  <c r="D17" i="12"/>
  <c r="G17" i="12" s="1"/>
  <c r="G16" i="12"/>
  <c r="D16" i="12"/>
  <c r="F16" i="12" s="1"/>
  <c r="D15" i="12"/>
  <c r="G15" i="12" s="1"/>
  <c r="G14" i="12"/>
  <c r="D14" i="12"/>
  <c r="F14" i="12" s="1"/>
  <c r="D13" i="12"/>
  <c r="G13" i="12" s="1"/>
  <c r="G12" i="12"/>
  <c r="D12" i="12"/>
  <c r="F12" i="12" s="1"/>
  <c r="D11" i="12"/>
  <c r="G11" i="12" s="1"/>
  <c r="G10" i="12"/>
  <c r="D10" i="12"/>
  <c r="F10" i="12" s="1"/>
  <c r="D9" i="12"/>
  <c r="G9" i="12" s="1"/>
  <c r="G8" i="12"/>
  <c r="D8" i="12"/>
  <c r="F8" i="12" s="1"/>
  <c r="D7" i="12"/>
  <c r="G7" i="12" s="1"/>
  <c r="G6" i="12"/>
  <c r="D6" i="12"/>
  <c r="F6" i="12" s="1"/>
  <c r="D5" i="12"/>
  <c r="G5" i="12" s="1"/>
  <c r="G4" i="12"/>
  <c r="D4" i="12"/>
  <c r="F4" i="12" s="1"/>
  <c r="D3" i="12"/>
  <c r="G3" i="12" s="1"/>
  <c r="G2" i="12"/>
  <c r="D2" i="12"/>
  <c r="F2" i="12" s="1"/>
  <c r="C33" i="11"/>
  <c r="D32" i="11"/>
  <c r="F32" i="11" s="1"/>
  <c r="D31" i="11"/>
  <c r="G31" i="11" s="1"/>
  <c r="D30" i="11"/>
  <c r="F30" i="11" s="1"/>
  <c r="D29" i="11"/>
  <c r="G29" i="11" s="1"/>
  <c r="D28" i="11"/>
  <c r="F28" i="11" s="1"/>
  <c r="D27" i="11"/>
  <c r="F27" i="11" s="1"/>
  <c r="D26" i="11"/>
  <c r="F26" i="11" s="1"/>
  <c r="D25" i="11"/>
  <c r="F25" i="11" s="1"/>
  <c r="D24" i="11"/>
  <c r="F24" i="11" s="1"/>
  <c r="D23" i="11"/>
  <c r="F23" i="11" s="1"/>
  <c r="D22" i="11"/>
  <c r="G22" i="11" s="1"/>
  <c r="D21" i="11"/>
  <c r="G21" i="11" s="1"/>
  <c r="D20" i="11"/>
  <c r="G20" i="11" s="1"/>
  <c r="D19" i="11"/>
  <c r="G19" i="11" s="1"/>
  <c r="D18" i="11"/>
  <c r="G18" i="11" s="1"/>
  <c r="D17" i="11"/>
  <c r="F17" i="11" s="1"/>
  <c r="D16" i="11"/>
  <c r="G16" i="11" s="1"/>
  <c r="D15" i="11"/>
  <c r="G15" i="11" s="1"/>
  <c r="D14" i="11"/>
  <c r="G14" i="11" s="1"/>
  <c r="D13" i="11"/>
  <c r="G13" i="11" s="1"/>
  <c r="D12" i="11"/>
  <c r="G12" i="11" s="1"/>
  <c r="D11" i="11"/>
  <c r="G11" i="11" s="1"/>
  <c r="D10" i="11"/>
  <c r="G10" i="11" s="1"/>
  <c r="D9" i="11"/>
  <c r="G9" i="11" s="1"/>
  <c r="D8" i="11"/>
  <c r="G8" i="11" s="1"/>
  <c r="D7" i="11"/>
  <c r="G7" i="11" s="1"/>
  <c r="D6" i="11"/>
  <c r="G6" i="11" s="1"/>
  <c r="D5" i="11"/>
  <c r="G5" i="11" s="1"/>
  <c r="D4" i="11"/>
  <c r="G4" i="11" s="1"/>
  <c r="D3" i="11"/>
  <c r="G3" i="11" s="1"/>
  <c r="D2" i="11"/>
  <c r="G2" i="11" s="1"/>
  <c r="C30" i="10"/>
  <c r="D29" i="10"/>
  <c r="F29" i="10" s="1"/>
  <c r="D28" i="10"/>
  <c r="G28" i="10" s="1"/>
  <c r="D27" i="10"/>
  <c r="G27" i="10" s="1"/>
  <c r="F26" i="10"/>
  <c r="D26" i="10"/>
  <c r="G26" i="10" s="1"/>
  <c r="D25" i="10"/>
  <c r="G25" i="10" s="1"/>
  <c r="D24" i="10"/>
  <c r="G24" i="10" s="1"/>
  <c r="D23" i="10"/>
  <c r="G23" i="10" s="1"/>
  <c r="D22" i="10"/>
  <c r="G22" i="10" s="1"/>
  <c r="D21" i="10"/>
  <c r="G21" i="10" s="1"/>
  <c r="D20" i="10"/>
  <c r="G20" i="10" s="1"/>
  <c r="D19" i="10"/>
  <c r="G19" i="10" s="1"/>
  <c r="D18" i="10"/>
  <c r="G18" i="10" s="1"/>
  <c r="D17" i="10"/>
  <c r="G17" i="10" s="1"/>
  <c r="D16" i="10"/>
  <c r="G16" i="10" s="1"/>
  <c r="D15" i="10"/>
  <c r="G15" i="10" s="1"/>
  <c r="G14" i="10"/>
  <c r="D14" i="10"/>
  <c r="F14" i="10" s="1"/>
  <c r="D13" i="10"/>
  <c r="G13" i="10" s="1"/>
  <c r="D12" i="10"/>
  <c r="G12" i="10" s="1"/>
  <c r="D11" i="10"/>
  <c r="G11" i="10" s="1"/>
  <c r="F10" i="10"/>
  <c r="D10" i="10"/>
  <c r="G10" i="10" s="1"/>
  <c r="D9" i="10"/>
  <c r="G9" i="10" s="1"/>
  <c r="D8" i="10"/>
  <c r="G8" i="10" s="1"/>
  <c r="D7" i="10"/>
  <c r="G7" i="10" s="1"/>
  <c r="D6" i="10"/>
  <c r="G6" i="10" s="1"/>
  <c r="D5" i="10"/>
  <c r="G5" i="10" s="1"/>
  <c r="D4" i="10"/>
  <c r="G4" i="10" s="1"/>
  <c r="D3" i="10"/>
  <c r="G3" i="10" s="1"/>
  <c r="D2" i="10"/>
  <c r="G2" i="10" s="1"/>
  <c r="C30" i="9"/>
  <c r="D29" i="9"/>
  <c r="G29" i="9" s="1"/>
  <c r="D28" i="9"/>
  <c r="G28" i="9" s="1"/>
  <c r="D27" i="9"/>
  <c r="G27" i="9" s="1"/>
  <c r="D26" i="9"/>
  <c r="G26" i="9" s="1"/>
  <c r="D25" i="9"/>
  <c r="G25" i="9" s="1"/>
  <c r="D24" i="9"/>
  <c r="G24" i="9" s="1"/>
  <c r="D23" i="9"/>
  <c r="G23" i="9" s="1"/>
  <c r="D22" i="9"/>
  <c r="G22" i="9" s="1"/>
  <c r="D21" i="9"/>
  <c r="G21" i="9" s="1"/>
  <c r="D20" i="9"/>
  <c r="G20" i="9" s="1"/>
  <c r="D19" i="9"/>
  <c r="G19" i="9" s="1"/>
  <c r="D18" i="9"/>
  <c r="G18" i="9" s="1"/>
  <c r="D17" i="9"/>
  <c r="G17" i="9" s="1"/>
  <c r="D16" i="9"/>
  <c r="G16" i="9" s="1"/>
  <c r="D15" i="9"/>
  <c r="G15" i="9" s="1"/>
  <c r="D14" i="9"/>
  <c r="G14" i="9" s="1"/>
  <c r="D13" i="9"/>
  <c r="G13" i="9" s="1"/>
  <c r="D12" i="9"/>
  <c r="G12" i="9" s="1"/>
  <c r="D11" i="9"/>
  <c r="G11" i="9" s="1"/>
  <c r="D10" i="9"/>
  <c r="G10" i="9" s="1"/>
  <c r="D9" i="9"/>
  <c r="G9" i="9" s="1"/>
  <c r="D8" i="9"/>
  <c r="G8" i="9" s="1"/>
  <c r="D7" i="9"/>
  <c r="G7" i="9" s="1"/>
  <c r="D6" i="9"/>
  <c r="G6" i="9" s="1"/>
  <c r="D5" i="9"/>
  <c r="G5" i="9" s="1"/>
  <c r="D4" i="9"/>
  <c r="G4" i="9" s="1"/>
  <c r="D3" i="9"/>
  <c r="G3" i="9" s="1"/>
  <c r="D2" i="9"/>
  <c r="G2" i="9" s="1"/>
  <c r="C33" i="6"/>
  <c r="C33" i="8"/>
  <c r="C32" i="7"/>
  <c r="D2" i="4"/>
  <c r="F2" i="4" s="1"/>
  <c r="F19" i="23" l="1"/>
  <c r="F23" i="23"/>
  <c r="G26" i="23"/>
  <c r="G6" i="23"/>
  <c r="G2" i="23"/>
  <c r="F11" i="23"/>
  <c r="G14" i="23"/>
  <c r="G32" i="23"/>
  <c r="G27" i="21"/>
  <c r="G4" i="23"/>
  <c r="F9" i="23"/>
  <c r="G16" i="23"/>
  <c r="F21" i="23"/>
  <c r="G28" i="23"/>
  <c r="G31" i="23"/>
  <c r="F5" i="23"/>
  <c r="G12" i="23"/>
  <c r="F17" i="23"/>
  <c r="G24" i="23"/>
  <c r="F29" i="23"/>
  <c r="G10" i="23"/>
  <c r="F15" i="23"/>
  <c r="F27" i="23"/>
  <c r="G8" i="23"/>
  <c r="G20" i="23"/>
  <c r="G30" i="23"/>
  <c r="G11" i="21"/>
  <c r="G9" i="21"/>
  <c r="G16" i="19"/>
  <c r="J5" i="18"/>
  <c r="G15" i="21"/>
  <c r="G5" i="21"/>
  <c r="G23" i="21"/>
  <c r="G3" i="21"/>
  <c r="G21" i="21"/>
  <c r="G17" i="21"/>
  <c r="G27" i="19"/>
  <c r="F32" i="19"/>
  <c r="F11" i="19"/>
  <c r="G5" i="19"/>
  <c r="G21" i="19"/>
  <c r="G19" i="17"/>
  <c r="G13" i="17"/>
  <c r="G29" i="17"/>
  <c r="G5" i="17"/>
  <c r="G11" i="17"/>
  <c r="G21" i="17"/>
  <c r="G3" i="17"/>
  <c r="G7" i="17"/>
  <c r="G15" i="17"/>
  <c r="G23" i="17"/>
  <c r="G31" i="17"/>
  <c r="G9" i="17"/>
  <c r="G17" i="17"/>
  <c r="G25" i="17"/>
  <c r="G27" i="17"/>
  <c r="G25" i="18"/>
  <c r="G21" i="18"/>
  <c r="G13" i="18"/>
  <c r="F8" i="19"/>
  <c r="F19" i="19"/>
  <c r="G29" i="19"/>
  <c r="G24" i="19"/>
  <c r="F4" i="19"/>
  <c r="G9" i="19"/>
  <c r="F15" i="19"/>
  <c r="F20" i="19"/>
  <c r="G25" i="19"/>
  <c r="F31" i="19"/>
  <c r="F3" i="19"/>
  <c r="G13" i="19"/>
  <c r="F7" i="19"/>
  <c r="F12" i="19"/>
  <c r="G17" i="19"/>
  <c r="F23" i="19"/>
  <c r="F28" i="19"/>
  <c r="G21" i="20"/>
  <c r="F29" i="21"/>
  <c r="F7" i="21"/>
  <c r="F31" i="21"/>
  <c r="G13" i="21"/>
  <c r="G19" i="21"/>
  <c r="G25" i="21"/>
  <c r="F4" i="20"/>
  <c r="F12" i="20"/>
  <c r="F20" i="20"/>
  <c r="F28" i="20"/>
  <c r="G5" i="20"/>
  <c r="G13" i="20"/>
  <c r="G29" i="20"/>
  <c r="F8" i="20"/>
  <c r="F16" i="20"/>
  <c r="F24" i="20"/>
  <c r="G9" i="20"/>
  <c r="G17" i="20"/>
  <c r="G25" i="20"/>
  <c r="G9" i="18"/>
  <c r="G29" i="18"/>
  <c r="G17" i="18"/>
  <c r="F5" i="18"/>
  <c r="F2" i="21"/>
  <c r="F6" i="21"/>
  <c r="F10" i="21"/>
  <c r="F14" i="21"/>
  <c r="F18" i="21"/>
  <c r="F22" i="21"/>
  <c r="F26" i="21"/>
  <c r="F30" i="21"/>
  <c r="F4" i="21"/>
  <c r="F8" i="21"/>
  <c r="F12" i="21"/>
  <c r="F16" i="21"/>
  <c r="F20" i="21"/>
  <c r="F24" i="21"/>
  <c r="F28" i="21"/>
  <c r="F32" i="21"/>
  <c r="F2" i="20"/>
  <c r="F6" i="20"/>
  <c r="F10" i="20"/>
  <c r="F14" i="20"/>
  <c r="F18" i="20"/>
  <c r="F22" i="20"/>
  <c r="F26" i="20"/>
  <c r="F30" i="20"/>
  <c r="F3" i="20"/>
  <c r="F7" i="20"/>
  <c r="F11" i="20"/>
  <c r="F15" i="20"/>
  <c r="F19" i="20"/>
  <c r="F23" i="20"/>
  <c r="F27" i="20"/>
  <c r="F31" i="20"/>
  <c r="F2" i="19"/>
  <c r="F6" i="19"/>
  <c r="F10" i="19"/>
  <c r="F14" i="19"/>
  <c r="F18" i="19"/>
  <c r="F22" i="19"/>
  <c r="F26" i="19"/>
  <c r="F30" i="19"/>
  <c r="F6" i="18"/>
  <c r="G26" i="18"/>
  <c r="F14" i="18"/>
  <c r="G22" i="18"/>
  <c r="F3" i="18"/>
  <c r="F7" i="18"/>
  <c r="F11" i="18"/>
  <c r="F15" i="18"/>
  <c r="F19" i="18"/>
  <c r="F23" i="18"/>
  <c r="F27" i="18"/>
  <c r="F31" i="18"/>
  <c r="G18" i="18"/>
  <c r="F2" i="18"/>
  <c r="F30" i="18"/>
  <c r="F10" i="18"/>
  <c r="F4" i="18"/>
  <c r="F8" i="18"/>
  <c r="F12" i="18"/>
  <c r="F16" i="18"/>
  <c r="F20" i="18"/>
  <c r="F24" i="18"/>
  <c r="F28" i="18"/>
  <c r="F2" i="17"/>
  <c r="F6" i="17"/>
  <c r="F10" i="17"/>
  <c r="F14" i="17"/>
  <c r="F18" i="17"/>
  <c r="F22" i="17"/>
  <c r="F26" i="17"/>
  <c r="F30" i="17"/>
  <c r="F4" i="17"/>
  <c r="F8" i="17"/>
  <c r="F12" i="17"/>
  <c r="F16" i="17"/>
  <c r="F20" i="17"/>
  <c r="F24" i="17"/>
  <c r="F28" i="17"/>
  <c r="F32" i="17"/>
  <c r="F2" i="16"/>
  <c r="F6" i="16"/>
  <c r="F10" i="16"/>
  <c r="F14" i="16"/>
  <c r="F18" i="16"/>
  <c r="F26" i="16"/>
  <c r="F30" i="16"/>
  <c r="G22" i="16"/>
  <c r="F3" i="16"/>
  <c r="F7" i="16"/>
  <c r="F11" i="16"/>
  <c r="F15" i="16"/>
  <c r="F19" i="16"/>
  <c r="F27" i="16"/>
  <c r="F31" i="16"/>
  <c r="F4" i="16"/>
  <c r="F8" i="16"/>
  <c r="F12" i="16"/>
  <c r="F16" i="16"/>
  <c r="F20" i="16"/>
  <c r="F24" i="16"/>
  <c r="F28" i="16"/>
  <c r="F32" i="16"/>
  <c r="F27" i="14"/>
  <c r="G27" i="14"/>
  <c r="F25" i="14"/>
  <c r="G25" i="14"/>
  <c r="G21" i="14"/>
  <c r="F21" i="14"/>
  <c r="F19" i="14"/>
  <c r="G19" i="14"/>
  <c r="F15" i="14"/>
  <c r="G15" i="14"/>
  <c r="F13" i="14"/>
  <c r="G13" i="14"/>
  <c r="F9" i="14"/>
  <c r="G9" i="14"/>
  <c r="F7" i="14"/>
  <c r="G7" i="14"/>
  <c r="G3" i="14"/>
  <c r="F3" i="14"/>
  <c r="G11" i="13"/>
  <c r="F11" i="13"/>
  <c r="F12" i="15"/>
  <c r="G12" i="15"/>
  <c r="G25" i="11"/>
  <c r="F7" i="11"/>
  <c r="G30" i="11"/>
  <c r="G23" i="11"/>
  <c r="F13" i="11"/>
  <c r="F11" i="11"/>
  <c r="F3" i="11"/>
  <c r="F9" i="11"/>
  <c r="F21" i="11"/>
  <c r="G27" i="11"/>
  <c r="F5" i="11"/>
  <c r="G17" i="11"/>
  <c r="F15" i="11"/>
  <c r="F19" i="11"/>
  <c r="F5" i="14"/>
  <c r="F11" i="14"/>
  <c r="F17" i="14"/>
  <c r="F23" i="14"/>
  <c r="F29" i="14"/>
  <c r="F5" i="13"/>
  <c r="F25" i="13"/>
  <c r="F29" i="13"/>
  <c r="F13" i="13"/>
  <c r="F19" i="13"/>
  <c r="F23" i="13"/>
  <c r="G28" i="11"/>
  <c r="F31" i="11"/>
  <c r="F2" i="11"/>
  <c r="F4" i="11"/>
  <c r="F6" i="11"/>
  <c r="F8" i="11"/>
  <c r="F10" i="11"/>
  <c r="F12" i="11"/>
  <c r="F14" i="11"/>
  <c r="F16" i="11"/>
  <c r="F18" i="11"/>
  <c r="F20" i="11"/>
  <c r="F22" i="11"/>
  <c r="G24" i="11"/>
  <c r="F29" i="11"/>
  <c r="G32" i="11"/>
  <c r="G26" i="11"/>
  <c r="F3" i="13"/>
  <c r="F9" i="13"/>
  <c r="F15" i="13"/>
  <c r="F21" i="13"/>
  <c r="F27" i="13"/>
  <c r="F7" i="13"/>
  <c r="F31" i="13"/>
  <c r="F3" i="12"/>
  <c r="F5" i="12"/>
  <c r="F7" i="12"/>
  <c r="F9" i="12"/>
  <c r="F11" i="12"/>
  <c r="F13" i="12"/>
  <c r="F15" i="12"/>
  <c r="F17" i="12"/>
  <c r="F19" i="12"/>
  <c r="F21" i="12"/>
  <c r="F23" i="12"/>
  <c r="F25" i="12"/>
  <c r="F27" i="12"/>
  <c r="F29" i="12"/>
  <c r="F31" i="12"/>
  <c r="F22" i="10"/>
  <c r="F4" i="10"/>
  <c r="F8" i="10"/>
  <c r="F20" i="10"/>
  <c r="F16" i="10"/>
  <c r="F28" i="10"/>
  <c r="F2" i="10"/>
  <c r="F6" i="10"/>
  <c r="F12" i="10"/>
  <c r="F18" i="10"/>
  <c r="F24" i="10"/>
  <c r="F3" i="15"/>
  <c r="F5" i="15"/>
  <c r="F7" i="15"/>
  <c r="F9" i="15"/>
  <c r="F11" i="15"/>
  <c r="F13" i="15"/>
  <c r="F15" i="15"/>
  <c r="F17" i="15"/>
  <c r="F19" i="15"/>
  <c r="F21" i="15"/>
  <c r="F23" i="15"/>
  <c r="F25" i="15"/>
  <c r="F27" i="15"/>
  <c r="F29" i="15"/>
  <c r="F31" i="15"/>
  <c r="F2" i="15"/>
  <c r="F4" i="15"/>
  <c r="F6" i="15"/>
  <c r="F8" i="15"/>
  <c r="F10" i="15"/>
  <c r="F14" i="15"/>
  <c r="F16" i="15"/>
  <c r="F18" i="15"/>
  <c r="F20" i="15"/>
  <c r="F22" i="15"/>
  <c r="F24" i="15"/>
  <c r="F26" i="15"/>
  <c r="F28" i="15"/>
  <c r="F30" i="15"/>
  <c r="F32" i="15"/>
  <c r="F2" i="14"/>
  <c r="F6" i="14"/>
  <c r="F10" i="14"/>
  <c r="F14" i="14"/>
  <c r="F18" i="14"/>
  <c r="F22" i="14"/>
  <c r="F26" i="14"/>
  <c r="F32" i="14"/>
  <c r="G4" i="14"/>
  <c r="G8" i="14"/>
  <c r="G12" i="14"/>
  <c r="G16" i="14"/>
  <c r="G20" i="14"/>
  <c r="G24" i="14"/>
  <c r="G28" i="14"/>
  <c r="G30" i="14"/>
  <c r="F2" i="13"/>
  <c r="F4" i="13"/>
  <c r="F6" i="13"/>
  <c r="F8" i="13"/>
  <c r="F10" i="13"/>
  <c r="F12" i="13"/>
  <c r="F14" i="13"/>
  <c r="F16" i="13"/>
  <c r="F18" i="13"/>
  <c r="F20" i="13"/>
  <c r="F22" i="13"/>
  <c r="F24" i="13"/>
  <c r="F26" i="13"/>
  <c r="F28" i="13"/>
  <c r="F30" i="13"/>
  <c r="G29" i="10"/>
  <c r="F3" i="10"/>
  <c r="F5" i="10"/>
  <c r="F7" i="10"/>
  <c r="F9" i="10"/>
  <c r="F11" i="10"/>
  <c r="F13" i="10"/>
  <c r="F15" i="10"/>
  <c r="F17" i="10"/>
  <c r="F19" i="10"/>
  <c r="F21" i="10"/>
  <c r="F23" i="10"/>
  <c r="F25" i="10"/>
  <c r="F27" i="10"/>
  <c r="F3" i="9"/>
  <c r="F5" i="9"/>
  <c r="F7" i="9"/>
  <c r="F9" i="9"/>
  <c r="F11" i="9"/>
  <c r="F13" i="9"/>
  <c r="F15" i="9"/>
  <c r="F17" i="9"/>
  <c r="F19" i="9"/>
  <c r="F21" i="9"/>
  <c r="F23" i="9"/>
  <c r="F25" i="9"/>
  <c r="F27" i="9"/>
  <c r="F29" i="9"/>
  <c r="F2" i="9"/>
  <c r="F4" i="9"/>
  <c r="F6" i="9"/>
  <c r="F8" i="9"/>
  <c r="F10" i="9"/>
  <c r="F12" i="9"/>
  <c r="F14" i="9"/>
  <c r="F16" i="9"/>
  <c r="F18" i="9"/>
  <c r="F20" i="9"/>
  <c r="F22" i="9"/>
  <c r="F24" i="9"/>
  <c r="F26" i="9"/>
  <c r="F28" i="9"/>
  <c r="D2" i="5"/>
  <c r="G2" i="5" s="1"/>
  <c r="D3" i="5"/>
  <c r="G3" i="5" s="1"/>
  <c r="D4" i="5"/>
  <c r="G4" i="5" s="1"/>
  <c r="D5" i="5"/>
  <c r="G5" i="5" s="1"/>
  <c r="D6" i="5"/>
  <c r="G6" i="5" s="1"/>
  <c r="D7" i="5"/>
  <c r="G7" i="5" s="1"/>
  <c r="D8" i="5"/>
  <c r="G8" i="5" s="1"/>
  <c r="D9" i="5"/>
  <c r="G9" i="5" s="1"/>
  <c r="D10" i="5"/>
  <c r="G10" i="5" s="1"/>
  <c r="D11" i="5"/>
  <c r="G11" i="5" s="1"/>
  <c r="D12" i="5"/>
  <c r="G12" i="5" s="1"/>
  <c r="D13" i="5"/>
  <c r="G13" i="5" s="1"/>
  <c r="D14" i="5"/>
  <c r="G14" i="5" s="1"/>
  <c r="D15" i="5"/>
  <c r="G15" i="5" s="1"/>
  <c r="D16" i="5"/>
  <c r="G16" i="5" s="1"/>
  <c r="D17" i="5"/>
  <c r="G17" i="5" s="1"/>
  <c r="D18" i="5"/>
  <c r="G18" i="5" s="1"/>
  <c r="D19" i="5"/>
  <c r="G19" i="5" s="1"/>
  <c r="D20" i="5"/>
  <c r="G20" i="5" s="1"/>
  <c r="D21" i="5"/>
  <c r="G21" i="5" s="1"/>
  <c r="D22" i="5"/>
  <c r="G22" i="5" s="1"/>
  <c r="D23" i="5"/>
  <c r="G23" i="5" s="1"/>
  <c r="D24" i="5"/>
  <c r="G24" i="5" s="1"/>
  <c r="D25" i="5"/>
  <c r="G25" i="5" s="1"/>
  <c r="D26" i="5"/>
  <c r="G26" i="5" s="1"/>
  <c r="D27" i="5"/>
  <c r="G27" i="5" s="1"/>
  <c r="D28" i="5"/>
  <c r="G28" i="5" s="1"/>
  <c r="D29" i="5"/>
  <c r="G29" i="5" s="1"/>
  <c r="D30" i="5"/>
  <c r="G30" i="5" s="1"/>
  <c r="D31" i="5"/>
  <c r="G31" i="5" s="1"/>
  <c r="D32" i="8"/>
  <c r="G32" i="8" s="1"/>
  <c r="D31" i="8"/>
  <c r="G31" i="8" s="1"/>
  <c r="D30" i="8"/>
  <c r="G30" i="8" s="1"/>
  <c r="D29" i="8"/>
  <c r="G29" i="8" s="1"/>
  <c r="D28" i="8"/>
  <c r="F28" i="8" s="1"/>
  <c r="D27" i="8"/>
  <c r="G27" i="8" s="1"/>
  <c r="D26" i="8"/>
  <c r="G26" i="8" s="1"/>
  <c r="D25" i="8"/>
  <c r="G25" i="8" s="1"/>
  <c r="D24" i="8"/>
  <c r="G24" i="8" s="1"/>
  <c r="D23" i="8"/>
  <c r="F23" i="8" s="1"/>
  <c r="D22" i="8"/>
  <c r="G22" i="8" s="1"/>
  <c r="D21" i="8"/>
  <c r="G21" i="8" s="1"/>
  <c r="D20" i="8"/>
  <c r="G20" i="8" s="1"/>
  <c r="D19" i="8"/>
  <c r="G19" i="8" s="1"/>
  <c r="D18" i="8"/>
  <c r="G18" i="8" s="1"/>
  <c r="D17" i="8"/>
  <c r="F17" i="8" s="1"/>
  <c r="D16" i="8"/>
  <c r="G16" i="8" s="1"/>
  <c r="D15" i="8"/>
  <c r="F15" i="8" s="1"/>
  <c r="D14" i="8"/>
  <c r="G14" i="8" s="1"/>
  <c r="D13" i="8"/>
  <c r="G13" i="8" s="1"/>
  <c r="D12" i="8"/>
  <c r="G12" i="8" s="1"/>
  <c r="D11" i="8"/>
  <c r="F11" i="8" s="1"/>
  <c r="D10" i="8"/>
  <c r="G10" i="8" s="1"/>
  <c r="D9" i="8"/>
  <c r="G9" i="8" s="1"/>
  <c r="D8" i="8"/>
  <c r="G8" i="8" s="1"/>
  <c r="D7" i="8"/>
  <c r="G7" i="8" s="1"/>
  <c r="D6" i="8"/>
  <c r="F6" i="8" s="1"/>
  <c r="D5" i="8"/>
  <c r="G5" i="8" s="1"/>
  <c r="D4" i="8"/>
  <c r="G4" i="8" s="1"/>
  <c r="D3" i="8"/>
  <c r="G3" i="8" s="1"/>
  <c r="D2" i="8"/>
  <c r="G2" i="8" s="1"/>
  <c r="D31" i="7"/>
  <c r="G31" i="7" s="1"/>
  <c r="D30" i="7"/>
  <c r="G30" i="7" s="1"/>
  <c r="D29" i="7"/>
  <c r="G29" i="7" s="1"/>
  <c r="D28" i="7"/>
  <c r="G28" i="7" s="1"/>
  <c r="D27" i="7"/>
  <c r="G27" i="7" s="1"/>
  <c r="D26" i="7"/>
  <c r="G26" i="7" s="1"/>
  <c r="D25" i="7"/>
  <c r="G25" i="7" s="1"/>
  <c r="D24" i="7"/>
  <c r="G24" i="7" s="1"/>
  <c r="D23" i="7"/>
  <c r="G23" i="7" s="1"/>
  <c r="D22" i="7"/>
  <c r="G22" i="7" s="1"/>
  <c r="D21" i="7"/>
  <c r="G21" i="7" s="1"/>
  <c r="D20" i="7"/>
  <c r="G20" i="7" s="1"/>
  <c r="D19" i="7"/>
  <c r="G19" i="7" s="1"/>
  <c r="D18" i="7"/>
  <c r="G18" i="7" s="1"/>
  <c r="D17" i="7"/>
  <c r="G17" i="7" s="1"/>
  <c r="D16" i="7"/>
  <c r="G16" i="7" s="1"/>
  <c r="D15" i="7"/>
  <c r="G15" i="7" s="1"/>
  <c r="D14" i="7"/>
  <c r="G14" i="7" s="1"/>
  <c r="D13" i="7"/>
  <c r="G13" i="7" s="1"/>
  <c r="D12" i="7"/>
  <c r="G12" i="7" s="1"/>
  <c r="D11" i="7"/>
  <c r="G11" i="7" s="1"/>
  <c r="D10" i="7"/>
  <c r="G10" i="7" s="1"/>
  <c r="D9" i="7"/>
  <c r="G9" i="7" s="1"/>
  <c r="D8" i="7"/>
  <c r="G8" i="7" s="1"/>
  <c r="D7" i="7"/>
  <c r="G7" i="7" s="1"/>
  <c r="D6" i="7"/>
  <c r="G6" i="7" s="1"/>
  <c r="D5" i="7"/>
  <c r="G5" i="7" s="1"/>
  <c r="D4" i="7"/>
  <c r="G4" i="7" s="1"/>
  <c r="D3" i="7"/>
  <c r="G3" i="7" s="1"/>
  <c r="D2" i="7"/>
  <c r="G2" i="7" s="1"/>
  <c r="D32" i="6"/>
  <c r="G32" i="6" s="1"/>
  <c r="D31" i="6"/>
  <c r="G31" i="6" s="1"/>
  <c r="D30" i="6"/>
  <c r="G30" i="6" s="1"/>
  <c r="D29" i="6"/>
  <c r="G29" i="6" s="1"/>
  <c r="D28" i="6"/>
  <c r="G28" i="6" s="1"/>
  <c r="D27" i="6"/>
  <c r="G27" i="6" s="1"/>
  <c r="D26" i="6"/>
  <c r="G26" i="6" s="1"/>
  <c r="D25" i="6"/>
  <c r="G25" i="6" s="1"/>
  <c r="D24" i="6"/>
  <c r="G24" i="6" s="1"/>
  <c r="D23" i="6"/>
  <c r="G23" i="6" s="1"/>
  <c r="D22" i="6"/>
  <c r="G22" i="6" s="1"/>
  <c r="D21" i="6"/>
  <c r="G21" i="6" s="1"/>
  <c r="D20" i="6"/>
  <c r="G20" i="6" s="1"/>
  <c r="D19" i="6"/>
  <c r="G19" i="6" s="1"/>
  <c r="D18" i="6"/>
  <c r="G18" i="6" s="1"/>
  <c r="D17" i="6"/>
  <c r="G17" i="6" s="1"/>
  <c r="D16" i="6"/>
  <c r="G16" i="6" s="1"/>
  <c r="D15" i="6"/>
  <c r="G15" i="6" s="1"/>
  <c r="D14" i="6"/>
  <c r="G14" i="6" s="1"/>
  <c r="D13" i="6"/>
  <c r="G13" i="6" s="1"/>
  <c r="D12" i="6"/>
  <c r="G12" i="6" s="1"/>
  <c r="D11" i="6"/>
  <c r="G11" i="6" s="1"/>
  <c r="D10" i="6"/>
  <c r="G10" i="6" s="1"/>
  <c r="D9" i="6"/>
  <c r="G9" i="6" s="1"/>
  <c r="D8" i="6"/>
  <c r="G8" i="6" s="1"/>
  <c r="D7" i="6"/>
  <c r="G7" i="6" s="1"/>
  <c r="D6" i="6"/>
  <c r="G6" i="6" s="1"/>
  <c r="D5" i="6"/>
  <c r="G5" i="6" s="1"/>
  <c r="D4" i="6"/>
  <c r="G4" i="6" s="1"/>
  <c r="D3" i="6"/>
  <c r="G3" i="6" s="1"/>
  <c r="D2" i="6"/>
  <c r="G2" i="6" s="1"/>
  <c r="D32" i="4"/>
  <c r="G32" i="4" s="1"/>
  <c r="D31" i="4"/>
  <c r="G31" i="4" s="1"/>
  <c r="D30" i="4"/>
  <c r="G30" i="4" s="1"/>
  <c r="D29" i="4"/>
  <c r="G29" i="4" s="1"/>
  <c r="D28" i="4"/>
  <c r="G28" i="4" s="1"/>
  <c r="D27" i="4"/>
  <c r="G27" i="4" s="1"/>
  <c r="D26" i="4"/>
  <c r="G26" i="4" s="1"/>
  <c r="D25" i="4"/>
  <c r="G25" i="4" s="1"/>
  <c r="D24" i="4"/>
  <c r="G24" i="4" s="1"/>
  <c r="D23" i="4"/>
  <c r="G23" i="4" s="1"/>
  <c r="D22" i="4"/>
  <c r="G22" i="4" s="1"/>
  <c r="D21" i="4"/>
  <c r="G21" i="4" s="1"/>
  <c r="D20" i="4"/>
  <c r="G20" i="4" s="1"/>
  <c r="D19" i="4"/>
  <c r="G19" i="4" s="1"/>
  <c r="D18" i="4"/>
  <c r="G18" i="4" s="1"/>
  <c r="D17" i="4"/>
  <c r="G17" i="4" s="1"/>
  <c r="D16" i="4"/>
  <c r="G16" i="4" s="1"/>
  <c r="D15" i="4"/>
  <c r="G15" i="4" s="1"/>
  <c r="D14" i="4"/>
  <c r="G14" i="4" s="1"/>
  <c r="D13" i="4"/>
  <c r="G13" i="4" s="1"/>
  <c r="D12" i="4"/>
  <c r="G12" i="4" s="1"/>
  <c r="D11" i="4"/>
  <c r="G11" i="4" s="1"/>
  <c r="D10" i="4"/>
  <c r="F10" i="4" s="1"/>
  <c r="D9" i="4"/>
  <c r="F9" i="4" s="1"/>
  <c r="D8" i="4"/>
  <c r="G8" i="4" s="1"/>
  <c r="D7" i="4"/>
  <c r="F7" i="4" s="1"/>
  <c r="D6" i="4"/>
  <c r="G6" i="4" s="1"/>
  <c r="D5" i="4"/>
  <c r="G5" i="4" s="1"/>
  <c r="D4" i="4"/>
  <c r="F4" i="4" s="1"/>
  <c r="D3" i="4"/>
  <c r="G3" i="4" s="1"/>
  <c r="G2" i="4"/>
  <c r="D32" i="3"/>
  <c r="G32" i="3" s="1"/>
  <c r="D31" i="3"/>
  <c r="G31" i="3" s="1"/>
  <c r="D30" i="3"/>
  <c r="G30" i="3" s="1"/>
  <c r="D29" i="3"/>
  <c r="F29" i="3" s="1"/>
  <c r="D28" i="3"/>
  <c r="G28" i="3" s="1"/>
  <c r="D27" i="3"/>
  <c r="G27" i="3" s="1"/>
  <c r="D26" i="3"/>
  <c r="G26" i="3" s="1"/>
  <c r="D25" i="3"/>
  <c r="F25" i="3" s="1"/>
  <c r="D24" i="3"/>
  <c r="G24" i="3" s="1"/>
  <c r="D23" i="3"/>
  <c r="G23" i="3" s="1"/>
  <c r="D22" i="3"/>
  <c r="G22" i="3" s="1"/>
  <c r="D21" i="3"/>
  <c r="G21" i="3" s="1"/>
  <c r="D20" i="3"/>
  <c r="G20" i="3" s="1"/>
  <c r="D19" i="3"/>
  <c r="F19" i="3" s="1"/>
  <c r="D18" i="3"/>
  <c r="G18" i="3" s="1"/>
  <c r="D17" i="3"/>
  <c r="F17" i="3" s="1"/>
  <c r="D16" i="3"/>
  <c r="G16" i="3" s="1"/>
  <c r="D15" i="3"/>
  <c r="G15" i="3" s="1"/>
  <c r="D14" i="3"/>
  <c r="G14" i="3" s="1"/>
  <c r="D13" i="3"/>
  <c r="F13" i="3" s="1"/>
  <c r="D12" i="3"/>
  <c r="G12" i="3" s="1"/>
  <c r="D11" i="3"/>
  <c r="G11" i="3" s="1"/>
  <c r="D10" i="3"/>
  <c r="G10" i="3" s="1"/>
  <c r="D9" i="3"/>
  <c r="G9" i="3" s="1"/>
  <c r="D8" i="3"/>
  <c r="G8" i="3" s="1"/>
  <c r="D7" i="3"/>
  <c r="G7" i="3" s="1"/>
  <c r="D6" i="3"/>
  <c r="G6" i="3" s="1"/>
  <c r="D5" i="3"/>
  <c r="F5" i="3" s="1"/>
  <c r="D4" i="3"/>
  <c r="G4" i="3" s="1"/>
  <c r="D3" i="3"/>
  <c r="G3" i="3" s="1"/>
  <c r="D2" i="3"/>
  <c r="G2" i="3" s="1"/>
  <c r="D3" i="1"/>
  <c r="G3" i="1" s="1"/>
  <c r="D4" i="1"/>
  <c r="G4" i="1" s="1"/>
  <c r="D5" i="1"/>
  <c r="F5" i="1" s="1"/>
  <c r="D6" i="1"/>
  <c r="F6" i="1" s="1"/>
  <c r="D7" i="1"/>
  <c r="F7" i="1" s="1"/>
  <c r="D8" i="1"/>
  <c r="F8" i="1" s="1"/>
  <c r="D9" i="1"/>
  <c r="G9" i="1" s="1"/>
  <c r="D10" i="1"/>
  <c r="G10" i="1" s="1"/>
  <c r="D11" i="1"/>
  <c r="F11" i="1" s="1"/>
  <c r="D12" i="1"/>
  <c r="G12" i="1" s="1"/>
  <c r="D13" i="1"/>
  <c r="F13" i="1" s="1"/>
  <c r="D14" i="1"/>
  <c r="G14" i="1" s="1"/>
  <c r="D15" i="1"/>
  <c r="G15" i="1" s="1"/>
  <c r="D16" i="1"/>
  <c r="G16" i="1" s="1"/>
  <c r="D17" i="1"/>
  <c r="G17" i="1" s="1"/>
  <c r="D18" i="1"/>
  <c r="F18" i="1" s="1"/>
  <c r="D19" i="1"/>
  <c r="F19" i="1" s="1"/>
  <c r="D20" i="1"/>
  <c r="G20" i="1" s="1"/>
  <c r="D21" i="1"/>
  <c r="G21" i="1" s="1"/>
  <c r="D22" i="1"/>
  <c r="G22" i="1" s="1"/>
  <c r="D23" i="1"/>
  <c r="F23" i="1" s="1"/>
  <c r="D24" i="1"/>
  <c r="F24" i="1" s="1"/>
  <c r="D25" i="1"/>
  <c r="F25" i="1" s="1"/>
  <c r="D26" i="1"/>
  <c r="F26" i="1" s="1"/>
  <c r="D27" i="1"/>
  <c r="G27" i="1" s="1"/>
  <c r="D28" i="1"/>
  <c r="F28" i="1" s="1"/>
  <c r="D29" i="1"/>
  <c r="F29" i="1" s="1"/>
  <c r="D30" i="1"/>
  <c r="G30" i="1" s="1"/>
  <c r="D31" i="1"/>
  <c r="G31" i="1" s="1"/>
  <c r="D2" i="1"/>
  <c r="F2" i="1" s="1"/>
  <c r="D32" i="1" l="1"/>
  <c r="G17" i="8"/>
  <c r="G5" i="3"/>
  <c r="F23" i="3"/>
  <c r="F11" i="3"/>
  <c r="G11" i="8"/>
  <c r="G23" i="8"/>
  <c r="F5" i="8"/>
  <c r="G17" i="3"/>
  <c r="F21" i="8"/>
  <c r="F27" i="8"/>
  <c r="F7" i="8"/>
  <c r="F13" i="8"/>
  <c r="F19" i="8"/>
  <c r="F25" i="8"/>
  <c r="F31" i="8"/>
  <c r="F3" i="8"/>
  <c r="G15" i="8"/>
  <c r="F9" i="8"/>
  <c r="F29" i="8"/>
  <c r="F32" i="8"/>
  <c r="F2" i="8"/>
  <c r="F4" i="8"/>
  <c r="F8" i="8"/>
  <c r="F10" i="8"/>
  <c r="F12" i="8"/>
  <c r="F14" i="8"/>
  <c r="F16" i="8"/>
  <c r="F18" i="8"/>
  <c r="F20" i="8"/>
  <c r="F22" i="8"/>
  <c r="F24" i="8"/>
  <c r="F26" i="8"/>
  <c r="F30" i="8"/>
  <c r="G6" i="8"/>
  <c r="G28" i="8"/>
  <c r="F2" i="5"/>
  <c r="F21" i="4"/>
  <c r="F29" i="4"/>
  <c r="F31" i="4"/>
  <c r="G9" i="4"/>
  <c r="G10" i="4"/>
  <c r="F3" i="4"/>
  <c r="F15" i="4"/>
  <c r="F23" i="4"/>
  <c r="F13" i="4"/>
  <c r="G4" i="4"/>
  <c r="F25" i="4"/>
  <c r="G7" i="4"/>
  <c r="F17" i="4"/>
  <c r="F27" i="4"/>
  <c r="F19" i="4"/>
  <c r="F14" i="4"/>
  <c r="F20" i="4"/>
  <c r="F26" i="4"/>
  <c r="F32" i="4"/>
  <c r="F5" i="4"/>
  <c r="F8" i="4"/>
  <c r="F11" i="4"/>
  <c r="F18" i="4"/>
  <c r="F24" i="4"/>
  <c r="F30" i="4"/>
  <c r="F6" i="4"/>
  <c r="F12" i="4"/>
  <c r="F22" i="4"/>
  <c r="F28" i="4"/>
  <c r="F16" i="4"/>
  <c r="F27" i="3"/>
  <c r="F3" i="3"/>
  <c r="F15" i="3"/>
  <c r="F2" i="7"/>
  <c r="F4" i="7"/>
  <c r="F6" i="7"/>
  <c r="F8" i="7"/>
  <c r="F10" i="7"/>
  <c r="F12" i="7"/>
  <c r="F14" i="7"/>
  <c r="F16" i="7"/>
  <c r="F18" i="7"/>
  <c r="F20" i="7"/>
  <c r="F22" i="7"/>
  <c r="F24" i="7"/>
  <c r="F26" i="7"/>
  <c r="F28" i="7"/>
  <c r="F30" i="7"/>
  <c r="F5" i="7"/>
  <c r="F11" i="7"/>
  <c r="F15" i="7"/>
  <c r="F19" i="7"/>
  <c r="F21" i="7"/>
  <c r="F23" i="7"/>
  <c r="F25" i="7"/>
  <c r="F29" i="7"/>
  <c r="F31" i="7"/>
  <c r="F3" i="7"/>
  <c r="F7" i="7"/>
  <c r="F9" i="7"/>
  <c r="F13" i="7"/>
  <c r="F17" i="7"/>
  <c r="F27" i="7"/>
  <c r="F3" i="6"/>
  <c r="F5" i="6"/>
  <c r="F7" i="6"/>
  <c r="F9" i="6"/>
  <c r="F11" i="6"/>
  <c r="F13" i="6"/>
  <c r="F15" i="6"/>
  <c r="F17" i="6"/>
  <c r="F19" i="6"/>
  <c r="F21" i="6"/>
  <c r="F23" i="6"/>
  <c r="F25" i="6"/>
  <c r="F27" i="6"/>
  <c r="F29" i="6"/>
  <c r="F31" i="6"/>
  <c r="F2" i="6"/>
  <c r="F4" i="6"/>
  <c r="F6" i="6"/>
  <c r="F8" i="6"/>
  <c r="F10" i="6"/>
  <c r="F12" i="6"/>
  <c r="F14" i="6"/>
  <c r="F16" i="6"/>
  <c r="F18" i="6"/>
  <c r="F20" i="6"/>
  <c r="F22" i="6"/>
  <c r="F24" i="6"/>
  <c r="F26" i="6"/>
  <c r="F28" i="6"/>
  <c r="F30" i="6"/>
  <c r="F32" i="6"/>
  <c r="F4" i="5"/>
  <c r="F6" i="5"/>
  <c r="F8" i="5"/>
  <c r="F10" i="5"/>
  <c r="F12" i="5"/>
  <c r="F14" i="5"/>
  <c r="F16" i="5"/>
  <c r="F18" i="5"/>
  <c r="F20" i="5"/>
  <c r="F22" i="5"/>
  <c r="F24" i="5"/>
  <c r="F26" i="5"/>
  <c r="F28" i="5"/>
  <c r="F30" i="5"/>
  <c r="F3" i="5"/>
  <c r="F5" i="5"/>
  <c r="F7" i="5"/>
  <c r="F9" i="5"/>
  <c r="F11" i="5"/>
  <c r="F13" i="5"/>
  <c r="F15" i="5"/>
  <c r="F17" i="5"/>
  <c r="F19" i="5"/>
  <c r="F21" i="5"/>
  <c r="F23" i="5"/>
  <c r="F25" i="5"/>
  <c r="F27" i="5"/>
  <c r="F29" i="5"/>
  <c r="F31" i="5"/>
  <c r="F9" i="3"/>
  <c r="F21" i="3"/>
  <c r="F7" i="3"/>
  <c r="F31" i="3"/>
  <c r="G13" i="3"/>
  <c r="G19" i="3"/>
  <c r="G25" i="3"/>
  <c r="G29" i="3"/>
  <c r="F32" i="3"/>
  <c r="F2" i="3"/>
  <c r="F4" i="3"/>
  <c r="F6" i="3"/>
  <c r="F8" i="3"/>
  <c r="F10" i="3"/>
  <c r="F12" i="3"/>
  <c r="F14" i="3"/>
  <c r="F16" i="3"/>
  <c r="F18" i="3"/>
  <c r="F20" i="3"/>
  <c r="F22" i="3"/>
  <c r="F24" i="3"/>
  <c r="F26" i="3"/>
  <c r="F28" i="3"/>
  <c r="F30" i="3"/>
  <c r="G19" i="1"/>
  <c r="G7" i="1"/>
  <c r="F31" i="1"/>
  <c r="F17" i="1"/>
  <c r="G5" i="1"/>
  <c r="G29" i="1"/>
  <c r="G23" i="1"/>
  <c r="G2" i="1"/>
  <c r="F20" i="1"/>
  <c r="G11" i="1"/>
  <c r="G8" i="1"/>
  <c r="F14" i="1"/>
  <c r="G26" i="1"/>
  <c r="F22" i="1"/>
  <c r="G25" i="1"/>
  <c r="G13" i="1"/>
  <c r="F16" i="1"/>
  <c r="F10" i="1"/>
  <c r="F9" i="1"/>
  <c r="F27" i="1"/>
  <c r="F21" i="1"/>
  <c r="F30" i="1"/>
  <c r="F12" i="1"/>
  <c r="F4" i="1"/>
  <c r="G24" i="1"/>
  <c r="G18" i="1"/>
  <c r="G6" i="1"/>
  <c r="F3" i="1"/>
  <c r="F15" i="1"/>
  <c r="G28" i="1"/>
</calcChain>
</file>

<file path=xl/sharedStrings.xml><?xml version="1.0" encoding="utf-8"?>
<sst xmlns="http://schemas.openxmlformats.org/spreadsheetml/2006/main" count="154" uniqueCount="13">
  <si>
    <t>Data</t>
  </si>
  <si>
    <t>Ocupados</t>
  </si>
  <si>
    <t>Total de Aptos</t>
  </si>
  <si>
    <t>Disponivel p/ venda</t>
  </si>
  <si>
    <t>Manutenção</t>
  </si>
  <si>
    <t>Inventário</t>
  </si>
  <si>
    <t>%Occ</t>
  </si>
  <si>
    <t>Previsão de Rns</t>
  </si>
  <si>
    <t>BLOQUEIO REFORMA</t>
  </si>
  <si>
    <t>Previsão de Aptos</t>
  </si>
  <si>
    <t>Bloqueio  Atual</t>
  </si>
  <si>
    <t>Diferença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</si>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</sst>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9" fontId="0" fillId="0" borderId="0" xfId="1" applyFo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10" fontId="0" fillId="2" borderId="1" xfId="1" applyNumberFormat="1" applyFont="1" applyFill="1" applyBorder="1"/>
    <xf numFmtId="2" fontId="0" fillId="2" borderId="3" xfId="0" applyNumberFormat="1" applyFill="1" applyBorder="1"/>
    <xf numFmtId="10" fontId="0" fillId="0" borderId="1" xfId="1" applyNumberFormat="1" applyFont="1" applyFill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 applyFill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</cellXfs>
  <cellStyles count="3">
    <cellStyle name="Normal" xfId="0" builtinId="0"/>
    <cellStyle name="Normal 2" xfId="2" xr:uid="{BC2BBFCE-19E1-445B-96DF-26605438D77F}"/>
    <cellStyle name="Porcentagem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3499-4289-428E-ADDE-FD2AFEBB5452}">
  <dimension ref="A1:H32"/>
  <sheetViews>
    <sheetView showGridLines="0" zoomScale="85" zoomScaleNormal="85" workbookViewId="0">
      <selection activeCell="N30" sqref="N30"/>
    </sheetView>
  </sheetViews>
  <sheetFormatPr defaultRowHeight="15" x14ac:dyDescent="0.25"/>
  <cols>
    <col min="1" max="8" width="15.7109375" customWidth="1"/>
  </cols>
  <sheetData>
    <row r="1" spans="1:8" ht="30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8" x14ac:dyDescent="0.25">
      <c r="A2" s="3">
        <v>45809</v>
      </c>
      <c r="B2" s="2">
        <v>205</v>
      </c>
      <c r="C2" s="6">
        <v>34</v>
      </c>
      <c r="D2" s="5">
        <f>B2-C2</f>
        <v>171</v>
      </c>
      <c r="E2" s="2">
        <v>150</v>
      </c>
      <c r="F2" s="5">
        <f t="shared" ref="F2:F17" si="0">D2-E2</f>
        <v>21</v>
      </c>
      <c r="G2" s="8">
        <f>E2/D2</f>
        <v>0.8771929824561403</v>
      </c>
      <c r="H2" s="4"/>
    </row>
    <row r="3" spans="1:8" x14ac:dyDescent="0.25">
      <c r="A3" s="3">
        <v>45810</v>
      </c>
      <c r="B3" s="2">
        <v>205</v>
      </c>
      <c r="C3" s="6">
        <v>34</v>
      </c>
      <c r="D3" s="5">
        <f t="shared" ref="D3:D31" si="1">B3-C3</f>
        <v>171</v>
      </c>
      <c r="E3" s="2">
        <v>150</v>
      </c>
      <c r="F3" s="5">
        <f t="shared" si="0"/>
        <v>21</v>
      </c>
      <c r="G3" s="8">
        <f t="shared" ref="G3:G31" si="2">E3/D3</f>
        <v>0.8771929824561403</v>
      </c>
      <c r="H3" s="4"/>
    </row>
    <row r="4" spans="1:8" x14ac:dyDescent="0.25">
      <c r="A4" s="3">
        <v>45811</v>
      </c>
      <c r="B4" s="2">
        <v>205</v>
      </c>
      <c r="C4" s="6">
        <v>33</v>
      </c>
      <c r="D4" s="5">
        <f t="shared" si="1"/>
        <v>172</v>
      </c>
      <c r="E4" s="2">
        <v>148</v>
      </c>
      <c r="F4" s="5">
        <f t="shared" si="0"/>
        <v>24</v>
      </c>
      <c r="G4" s="8">
        <f t="shared" si="2"/>
        <v>0.86046511627906974</v>
      </c>
      <c r="H4" s="4"/>
    </row>
    <row r="5" spans="1:8" x14ac:dyDescent="0.25">
      <c r="A5" s="3">
        <v>45812</v>
      </c>
      <c r="B5" s="2">
        <v>205</v>
      </c>
      <c r="C5" s="6">
        <v>31</v>
      </c>
      <c r="D5" s="5">
        <f t="shared" si="1"/>
        <v>174</v>
      </c>
      <c r="E5" s="2">
        <v>155</v>
      </c>
      <c r="F5" s="5">
        <f t="shared" si="0"/>
        <v>19</v>
      </c>
      <c r="G5" s="8">
        <f t="shared" si="2"/>
        <v>0.89080459770114939</v>
      </c>
      <c r="H5" s="4"/>
    </row>
    <row r="6" spans="1:8" x14ac:dyDescent="0.25">
      <c r="A6" s="3">
        <v>45813</v>
      </c>
      <c r="B6" s="2">
        <v>205</v>
      </c>
      <c r="C6" s="6">
        <v>31</v>
      </c>
      <c r="D6" s="5">
        <f t="shared" si="1"/>
        <v>174</v>
      </c>
      <c r="E6" s="2">
        <v>154</v>
      </c>
      <c r="F6" s="5">
        <f t="shared" si="0"/>
        <v>20</v>
      </c>
      <c r="G6" s="8">
        <f t="shared" si="2"/>
        <v>0.88505747126436785</v>
      </c>
      <c r="H6" s="4"/>
    </row>
    <row r="7" spans="1:8" x14ac:dyDescent="0.25">
      <c r="A7" s="3">
        <v>45814</v>
      </c>
      <c r="B7" s="2">
        <v>205</v>
      </c>
      <c r="C7" s="6">
        <v>31</v>
      </c>
      <c r="D7" s="5">
        <f t="shared" si="1"/>
        <v>174</v>
      </c>
      <c r="E7" s="2">
        <v>147</v>
      </c>
      <c r="F7" s="5">
        <f t="shared" si="0"/>
        <v>27</v>
      </c>
      <c r="G7" s="8">
        <f t="shared" si="2"/>
        <v>0.84482758620689657</v>
      </c>
      <c r="H7" s="4"/>
    </row>
    <row r="8" spans="1:8" x14ac:dyDescent="0.25">
      <c r="A8" s="3">
        <v>45815</v>
      </c>
      <c r="B8" s="2">
        <v>205</v>
      </c>
      <c r="C8" s="6">
        <v>29</v>
      </c>
      <c r="D8" s="5">
        <f t="shared" si="1"/>
        <v>176</v>
      </c>
      <c r="E8" s="2">
        <v>152</v>
      </c>
      <c r="F8" s="5">
        <f t="shared" si="0"/>
        <v>24</v>
      </c>
      <c r="G8" s="8">
        <f t="shared" si="2"/>
        <v>0.86363636363636365</v>
      </c>
      <c r="H8" s="4"/>
    </row>
    <row r="9" spans="1:8" x14ac:dyDescent="0.25">
      <c r="A9" s="3">
        <v>45816</v>
      </c>
      <c r="B9" s="2">
        <v>205</v>
      </c>
      <c r="C9" s="6">
        <v>37</v>
      </c>
      <c r="D9" s="5">
        <f t="shared" si="1"/>
        <v>168</v>
      </c>
      <c r="E9" s="2">
        <v>144</v>
      </c>
      <c r="F9" s="5">
        <f t="shared" si="0"/>
        <v>24</v>
      </c>
      <c r="G9" s="8">
        <f t="shared" si="2"/>
        <v>0.8571428571428571</v>
      </c>
      <c r="H9" s="4"/>
    </row>
    <row r="10" spans="1:8" x14ac:dyDescent="0.25">
      <c r="A10" s="3">
        <v>45817</v>
      </c>
      <c r="B10" s="2">
        <v>205</v>
      </c>
      <c r="C10" s="6">
        <v>36</v>
      </c>
      <c r="D10" s="5">
        <f t="shared" si="1"/>
        <v>169</v>
      </c>
      <c r="E10" s="2">
        <v>144</v>
      </c>
      <c r="F10" s="5">
        <f t="shared" si="0"/>
        <v>25</v>
      </c>
      <c r="G10" s="8">
        <f t="shared" si="2"/>
        <v>0.85207100591715978</v>
      </c>
      <c r="H10" s="4"/>
    </row>
    <row r="11" spans="1:8" x14ac:dyDescent="0.25">
      <c r="A11" s="3">
        <v>45818</v>
      </c>
      <c r="B11" s="2">
        <v>205</v>
      </c>
      <c r="C11" s="6">
        <v>35</v>
      </c>
      <c r="D11" s="5">
        <f t="shared" si="1"/>
        <v>170</v>
      </c>
      <c r="E11" s="2">
        <v>142</v>
      </c>
      <c r="F11" s="5">
        <f t="shared" si="0"/>
        <v>28</v>
      </c>
      <c r="G11" s="8">
        <f t="shared" si="2"/>
        <v>0.83529411764705885</v>
      </c>
      <c r="H11" s="4"/>
    </row>
    <row r="12" spans="1:8" x14ac:dyDescent="0.25">
      <c r="A12" s="3">
        <v>45819</v>
      </c>
      <c r="B12" s="2">
        <v>205</v>
      </c>
      <c r="C12" s="6">
        <v>34</v>
      </c>
      <c r="D12" s="5">
        <f t="shared" si="1"/>
        <v>171</v>
      </c>
      <c r="E12" s="2">
        <v>145</v>
      </c>
      <c r="F12" s="5">
        <f t="shared" si="0"/>
        <v>26</v>
      </c>
      <c r="G12" s="8">
        <f t="shared" si="2"/>
        <v>0.84795321637426901</v>
      </c>
      <c r="H12" s="4"/>
    </row>
    <row r="13" spans="1:8" x14ac:dyDescent="0.25">
      <c r="A13" s="3">
        <v>45820</v>
      </c>
      <c r="B13" s="2">
        <v>205</v>
      </c>
      <c r="C13" s="6">
        <v>33</v>
      </c>
      <c r="D13" s="5">
        <f t="shared" si="1"/>
        <v>172</v>
      </c>
      <c r="E13" s="2">
        <v>172</v>
      </c>
      <c r="F13" s="5">
        <f t="shared" si="0"/>
        <v>0</v>
      </c>
      <c r="G13" s="8">
        <f t="shared" si="2"/>
        <v>1</v>
      </c>
      <c r="H13" s="4"/>
    </row>
    <row r="14" spans="1:8" x14ac:dyDescent="0.25">
      <c r="A14" s="3">
        <v>45821</v>
      </c>
      <c r="B14" s="2">
        <v>205</v>
      </c>
      <c r="C14" s="6">
        <v>31</v>
      </c>
      <c r="D14" s="5">
        <f t="shared" si="1"/>
        <v>174</v>
      </c>
      <c r="E14" s="2">
        <v>180</v>
      </c>
      <c r="F14" s="5">
        <f t="shared" si="0"/>
        <v>-6</v>
      </c>
      <c r="G14" s="8">
        <f t="shared" si="2"/>
        <v>1.0344827586206897</v>
      </c>
      <c r="H14" s="4"/>
    </row>
    <row r="15" spans="1:8" x14ac:dyDescent="0.25">
      <c r="A15" s="3">
        <v>45822</v>
      </c>
      <c r="B15" s="2">
        <v>205</v>
      </c>
      <c r="C15" s="6">
        <v>32</v>
      </c>
      <c r="D15" s="5">
        <f t="shared" si="1"/>
        <v>173</v>
      </c>
      <c r="E15" s="2">
        <v>162</v>
      </c>
      <c r="F15" s="5">
        <f t="shared" si="0"/>
        <v>11</v>
      </c>
      <c r="G15" s="8">
        <f t="shared" si="2"/>
        <v>0.93641618497109824</v>
      </c>
      <c r="H15" s="4"/>
    </row>
    <row r="16" spans="1:8" x14ac:dyDescent="0.25">
      <c r="A16" s="3">
        <v>45823</v>
      </c>
      <c r="B16" s="2">
        <v>205</v>
      </c>
      <c r="C16" s="6">
        <v>31</v>
      </c>
      <c r="D16" s="5">
        <f t="shared" si="1"/>
        <v>174</v>
      </c>
      <c r="E16" s="2">
        <v>162</v>
      </c>
      <c r="F16" s="5">
        <f t="shared" si="0"/>
        <v>12</v>
      </c>
      <c r="G16" s="8">
        <f t="shared" si="2"/>
        <v>0.93103448275862066</v>
      </c>
      <c r="H16" s="4"/>
    </row>
    <row r="17" spans="1:8" x14ac:dyDescent="0.25">
      <c r="A17" s="3">
        <v>45824</v>
      </c>
      <c r="B17" s="2">
        <v>205</v>
      </c>
      <c r="C17" s="6">
        <v>38</v>
      </c>
      <c r="D17" s="5">
        <f t="shared" si="1"/>
        <v>167</v>
      </c>
      <c r="E17" s="2">
        <v>146</v>
      </c>
      <c r="F17" s="5">
        <f t="shared" si="0"/>
        <v>21</v>
      </c>
      <c r="G17" s="8">
        <f t="shared" si="2"/>
        <v>0.87425149700598803</v>
      </c>
      <c r="H17" s="4"/>
    </row>
    <row r="18" spans="1:8" x14ac:dyDescent="0.25">
      <c r="A18" s="3">
        <v>45825</v>
      </c>
      <c r="B18" s="2">
        <v>205</v>
      </c>
      <c r="C18" s="6">
        <v>38</v>
      </c>
      <c r="D18" s="5">
        <f t="shared" si="1"/>
        <v>167</v>
      </c>
      <c r="E18" s="2">
        <v>135</v>
      </c>
      <c r="F18" s="5">
        <f t="shared" ref="F18:F31" si="3">D18-E18</f>
        <v>32</v>
      </c>
      <c r="G18" s="8">
        <f t="shared" si="2"/>
        <v>0.80838323353293418</v>
      </c>
      <c r="H18" s="4"/>
    </row>
    <row r="19" spans="1:8" x14ac:dyDescent="0.25">
      <c r="A19" s="3">
        <v>45826</v>
      </c>
      <c r="B19" s="2">
        <v>205</v>
      </c>
      <c r="C19" s="6">
        <v>38</v>
      </c>
      <c r="D19" s="5">
        <f t="shared" si="1"/>
        <v>167</v>
      </c>
      <c r="E19" s="2">
        <v>142</v>
      </c>
      <c r="F19" s="5">
        <f t="shared" si="3"/>
        <v>25</v>
      </c>
      <c r="G19" s="8">
        <f t="shared" si="2"/>
        <v>0.85029940119760483</v>
      </c>
      <c r="H19" s="4"/>
    </row>
    <row r="20" spans="1:8" x14ac:dyDescent="0.25">
      <c r="A20" s="3">
        <v>45827</v>
      </c>
      <c r="B20" s="2">
        <v>205</v>
      </c>
      <c r="C20" s="6">
        <v>29</v>
      </c>
      <c r="D20" s="5">
        <f t="shared" si="1"/>
        <v>176</v>
      </c>
      <c r="E20" s="2">
        <v>145</v>
      </c>
      <c r="F20" s="5">
        <f t="shared" si="3"/>
        <v>31</v>
      </c>
      <c r="G20" s="8">
        <f t="shared" si="2"/>
        <v>0.82386363636363635</v>
      </c>
      <c r="H20" s="4"/>
    </row>
    <row r="21" spans="1:8" x14ac:dyDescent="0.25">
      <c r="A21" s="3">
        <v>45828</v>
      </c>
      <c r="B21" s="2">
        <v>205</v>
      </c>
      <c r="C21" s="6">
        <v>28</v>
      </c>
      <c r="D21" s="5">
        <f t="shared" si="1"/>
        <v>177</v>
      </c>
      <c r="E21" s="2">
        <v>152</v>
      </c>
      <c r="F21" s="5">
        <f t="shared" si="3"/>
        <v>25</v>
      </c>
      <c r="G21" s="8">
        <f t="shared" si="2"/>
        <v>0.85875706214689262</v>
      </c>
      <c r="H21" s="4"/>
    </row>
    <row r="22" spans="1:8" x14ac:dyDescent="0.25">
      <c r="A22" s="3">
        <v>45829</v>
      </c>
      <c r="B22" s="2">
        <v>205</v>
      </c>
      <c r="C22" s="6">
        <v>29</v>
      </c>
      <c r="D22" s="5">
        <f t="shared" si="1"/>
        <v>176</v>
      </c>
      <c r="E22" s="2">
        <v>148</v>
      </c>
      <c r="F22" s="5">
        <f t="shared" si="3"/>
        <v>28</v>
      </c>
      <c r="G22" s="8">
        <f t="shared" si="2"/>
        <v>0.84090909090909094</v>
      </c>
      <c r="H22" s="4"/>
    </row>
    <row r="23" spans="1:8" x14ac:dyDescent="0.25">
      <c r="A23" s="3">
        <v>45830</v>
      </c>
      <c r="B23" s="2">
        <v>205</v>
      </c>
      <c r="C23" s="6">
        <v>33</v>
      </c>
      <c r="D23" s="5">
        <f t="shared" si="1"/>
        <v>172</v>
      </c>
      <c r="E23" s="2">
        <v>137</v>
      </c>
      <c r="F23" s="5">
        <f t="shared" si="3"/>
        <v>35</v>
      </c>
      <c r="G23" s="8">
        <f t="shared" si="2"/>
        <v>0.79651162790697672</v>
      </c>
      <c r="H23" s="4"/>
    </row>
    <row r="24" spans="1:8" x14ac:dyDescent="0.25">
      <c r="A24" s="3">
        <v>45831</v>
      </c>
      <c r="B24" s="2">
        <v>205</v>
      </c>
      <c r="C24" s="6">
        <v>35</v>
      </c>
      <c r="D24" s="5">
        <f t="shared" si="1"/>
        <v>170</v>
      </c>
      <c r="E24" s="2">
        <v>118</v>
      </c>
      <c r="F24" s="5">
        <f t="shared" si="3"/>
        <v>52</v>
      </c>
      <c r="G24" s="8">
        <f t="shared" si="2"/>
        <v>0.69411764705882351</v>
      </c>
      <c r="H24" s="4"/>
    </row>
    <row r="25" spans="1:8" x14ac:dyDescent="0.25">
      <c r="A25" s="3">
        <v>45832</v>
      </c>
      <c r="B25" s="2">
        <v>205</v>
      </c>
      <c r="C25" s="6">
        <v>34</v>
      </c>
      <c r="D25" s="5">
        <f t="shared" si="1"/>
        <v>171</v>
      </c>
      <c r="E25" s="2">
        <v>124</v>
      </c>
      <c r="F25" s="5">
        <f t="shared" si="3"/>
        <v>47</v>
      </c>
      <c r="G25" s="8">
        <f t="shared" si="2"/>
        <v>0.72514619883040932</v>
      </c>
      <c r="H25" s="4"/>
    </row>
    <row r="26" spans="1:8" x14ac:dyDescent="0.25">
      <c r="A26" s="3">
        <v>45833</v>
      </c>
      <c r="B26" s="2">
        <v>205</v>
      </c>
      <c r="C26" s="6">
        <v>34</v>
      </c>
      <c r="D26" s="5">
        <f t="shared" si="1"/>
        <v>171</v>
      </c>
      <c r="E26" s="2">
        <v>125</v>
      </c>
      <c r="F26" s="5">
        <f t="shared" si="3"/>
        <v>46</v>
      </c>
      <c r="G26" s="8">
        <f t="shared" si="2"/>
        <v>0.73099415204678364</v>
      </c>
      <c r="H26" s="4"/>
    </row>
    <row r="27" spans="1:8" x14ac:dyDescent="0.25">
      <c r="A27" s="3">
        <v>45834</v>
      </c>
      <c r="B27" s="2">
        <v>205</v>
      </c>
      <c r="C27" s="6">
        <v>34</v>
      </c>
      <c r="D27" s="5">
        <f t="shared" si="1"/>
        <v>171</v>
      </c>
      <c r="E27" s="2">
        <v>130</v>
      </c>
      <c r="F27" s="5">
        <f t="shared" si="3"/>
        <v>41</v>
      </c>
      <c r="G27" s="8">
        <f t="shared" si="2"/>
        <v>0.76023391812865493</v>
      </c>
      <c r="H27" s="4"/>
    </row>
    <row r="28" spans="1:8" x14ac:dyDescent="0.25">
      <c r="A28" s="3">
        <v>45835</v>
      </c>
      <c r="B28" s="2">
        <v>205</v>
      </c>
      <c r="C28" s="6">
        <v>34</v>
      </c>
      <c r="D28" s="5">
        <f t="shared" si="1"/>
        <v>171</v>
      </c>
      <c r="E28" s="2">
        <v>146</v>
      </c>
      <c r="F28" s="5">
        <f t="shared" si="3"/>
        <v>25</v>
      </c>
      <c r="G28" s="8">
        <f t="shared" si="2"/>
        <v>0.85380116959064323</v>
      </c>
      <c r="H28" s="4"/>
    </row>
    <row r="29" spans="1:8" x14ac:dyDescent="0.25">
      <c r="A29" s="3">
        <v>45836</v>
      </c>
      <c r="B29" s="2">
        <v>205</v>
      </c>
      <c r="C29" s="6">
        <v>33</v>
      </c>
      <c r="D29" s="5">
        <f t="shared" si="1"/>
        <v>172</v>
      </c>
      <c r="E29" s="2">
        <v>148</v>
      </c>
      <c r="F29" s="5">
        <f t="shared" si="3"/>
        <v>24</v>
      </c>
      <c r="G29" s="8">
        <f t="shared" si="2"/>
        <v>0.86046511627906974</v>
      </c>
      <c r="H29" s="4"/>
    </row>
    <row r="30" spans="1:8" x14ac:dyDescent="0.25">
      <c r="A30" s="3">
        <v>45837</v>
      </c>
      <c r="B30" s="2">
        <v>205</v>
      </c>
      <c r="C30" s="6">
        <v>33</v>
      </c>
      <c r="D30" s="5">
        <f t="shared" si="1"/>
        <v>172</v>
      </c>
      <c r="E30" s="2">
        <v>128</v>
      </c>
      <c r="F30" s="5">
        <f t="shared" si="3"/>
        <v>44</v>
      </c>
      <c r="G30" s="8">
        <f t="shared" si="2"/>
        <v>0.7441860465116279</v>
      </c>
      <c r="H30" s="4"/>
    </row>
    <row r="31" spans="1:8" x14ac:dyDescent="0.25">
      <c r="A31" s="3">
        <v>45838</v>
      </c>
      <c r="B31" s="2">
        <v>205</v>
      </c>
      <c r="C31" s="6">
        <v>35</v>
      </c>
      <c r="D31" s="5">
        <f t="shared" si="1"/>
        <v>170</v>
      </c>
      <c r="E31" s="2">
        <v>98</v>
      </c>
      <c r="F31" s="5">
        <f t="shared" si="3"/>
        <v>72</v>
      </c>
      <c r="G31" s="8">
        <f t="shared" si="2"/>
        <v>0.57647058823529407</v>
      </c>
      <c r="H31" s="4"/>
    </row>
    <row r="32" spans="1:8" x14ac:dyDescent="0.25">
      <c r="D32" s="9">
        <f>AVERAGE(D2:D31)</f>
        <v>171.76666666666668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6BC5-6A26-4637-9D41-A3A1948BE953}">
  <dimension ref="A1:G32"/>
  <sheetViews>
    <sheetView showGridLines="0" zoomScale="85" zoomScaleNormal="85" workbookViewId="0">
      <selection activeCell="E2" sqref="E2:E32"/>
    </sheetView>
  </sheetViews>
  <sheetFormatPr defaultRowHeight="15" x14ac:dyDescent="0.25"/>
  <cols>
    <col min="1" max="7" width="15.7109375" customWidth="1"/>
  </cols>
  <sheetData>
    <row r="1" spans="1:7" ht="30" x14ac:dyDescent="0.25">
      <c r="A1" s="7" t="s">
        <v>0</v>
      </c>
      <c r="B1" s="7" t="s">
        <v>2</v>
      </c>
      <c r="C1" s="7" t="s">
        <v>4</v>
      </c>
      <c r="D1" s="7" t="s">
        <v>5</v>
      </c>
      <c r="E1" s="7" t="s">
        <v>1</v>
      </c>
      <c r="F1" s="7" t="s">
        <v>3</v>
      </c>
      <c r="G1" s="1" t="s">
        <v>6</v>
      </c>
    </row>
    <row r="2" spans="1:7" x14ac:dyDescent="0.25">
      <c r="A2" s="3">
        <v>45839</v>
      </c>
      <c r="B2" s="2">
        <v>205</v>
      </c>
      <c r="C2" s="6">
        <v>27</v>
      </c>
      <c r="D2" s="2">
        <f>B2-C2</f>
        <v>178</v>
      </c>
      <c r="E2" s="5">
        <v>110</v>
      </c>
      <c r="F2" s="2">
        <f t="shared" ref="F2:F32" si="0">D2-E2</f>
        <v>68</v>
      </c>
      <c r="G2" s="10">
        <f t="shared" ref="G2:G32" si="1">E2/D2</f>
        <v>0.6179775280898876</v>
      </c>
    </row>
    <row r="3" spans="1:7" x14ac:dyDescent="0.25">
      <c r="A3" s="3">
        <v>45840</v>
      </c>
      <c r="B3" s="2">
        <v>205</v>
      </c>
      <c r="C3" s="6">
        <v>28</v>
      </c>
      <c r="D3" s="2">
        <f t="shared" ref="D3:D32" si="2">B3-C3</f>
        <v>177</v>
      </c>
      <c r="E3" s="5">
        <v>122</v>
      </c>
      <c r="F3" s="2">
        <f t="shared" si="0"/>
        <v>55</v>
      </c>
      <c r="G3" s="10">
        <f t="shared" si="1"/>
        <v>0.68926553672316382</v>
      </c>
    </row>
    <row r="4" spans="1:7" x14ac:dyDescent="0.25">
      <c r="A4" s="3">
        <v>45841</v>
      </c>
      <c r="B4" s="2">
        <v>205</v>
      </c>
      <c r="C4" s="6">
        <v>36</v>
      </c>
      <c r="D4" s="2">
        <f t="shared" si="2"/>
        <v>169</v>
      </c>
      <c r="E4" s="5">
        <v>140</v>
      </c>
      <c r="F4" s="2">
        <f t="shared" si="0"/>
        <v>29</v>
      </c>
      <c r="G4" s="10">
        <f t="shared" si="1"/>
        <v>0.82840236686390534</v>
      </c>
    </row>
    <row r="5" spans="1:7" x14ac:dyDescent="0.25">
      <c r="A5" s="3">
        <v>45842</v>
      </c>
      <c r="B5" s="2">
        <v>205</v>
      </c>
      <c r="C5" s="6">
        <v>27</v>
      </c>
      <c r="D5" s="2">
        <f t="shared" si="2"/>
        <v>178</v>
      </c>
      <c r="E5" s="5">
        <v>147</v>
      </c>
      <c r="F5" s="2">
        <f t="shared" si="0"/>
        <v>31</v>
      </c>
      <c r="G5" s="10">
        <f t="shared" si="1"/>
        <v>0.8258426966292135</v>
      </c>
    </row>
    <row r="6" spans="1:7" x14ac:dyDescent="0.25">
      <c r="A6" s="3">
        <v>45843</v>
      </c>
      <c r="B6" s="2">
        <v>205</v>
      </c>
      <c r="C6" s="6">
        <v>19</v>
      </c>
      <c r="D6" s="2">
        <f t="shared" si="2"/>
        <v>186</v>
      </c>
      <c r="E6" s="5">
        <v>154</v>
      </c>
      <c r="F6" s="2">
        <f t="shared" si="0"/>
        <v>32</v>
      </c>
      <c r="G6" s="10">
        <f t="shared" si="1"/>
        <v>0.82795698924731187</v>
      </c>
    </row>
    <row r="7" spans="1:7" x14ac:dyDescent="0.25">
      <c r="A7" s="3">
        <v>45844</v>
      </c>
      <c r="B7" s="2">
        <v>205</v>
      </c>
      <c r="C7" s="6">
        <v>19</v>
      </c>
      <c r="D7" s="2">
        <f t="shared" si="2"/>
        <v>186</v>
      </c>
      <c r="E7" s="5">
        <v>168</v>
      </c>
      <c r="F7" s="2">
        <f t="shared" si="0"/>
        <v>18</v>
      </c>
      <c r="G7" s="10">
        <f t="shared" si="1"/>
        <v>0.90322580645161288</v>
      </c>
    </row>
    <row r="8" spans="1:7" x14ac:dyDescent="0.25">
      <c r="A8" s="3">
        <v>45845</v>
      </c>
      <c r="B8" s="2">
        <v>205</v>
      </c>
      <c r="C8" s="6">
        <v>15</v>
      </c>
      <c r="D8" s="2">
        <f t="shared" si="2"/>
        <v>190</v>
      </c>
      <c r="E8" s="5">
        <v>167</v>
      </c>
      <c r="F8" s="2">
        <f t="shared" si="0"/>
        <v>23</v>
      </c>
      <c r="G8" s="10">
        <f t="shared" si="1"/>
        <v>0.87894736842105259</v>
      </c>
    </row>
    <row r="9" spans="1:7" x14ac:dyDescent="0.25">
      <c r="A9" s="3">
        <v>45846</v>
      </c>
      <c r="B9" s="2">
        <v>205</v>
      </c>
      <c r="C9" s="6">
        <v>12</v>
      </c>
      <c r="D9" s="2">
        <f t="shared" si="2"/>
        <v>193</v>
      </c>
      <c r="E9" s="5">
        <v>170</v>
      </c>
      <c r="F9" s="2">
        <f t="shared" si="0"/>
        <v>23</v>
      </c>
      <c r="G9" s="10">
        <f t="shared" si="1"/>
        <v>0.88082901554404147</v>
      </c>
    </row>
    <row r="10" spans="1:7" x14ac:dyDescent="0.25">
      <c r="A10" s="3">
        <v>45847</v>
      </c>
      <c r="B10" s="2">
        <v>205</v>
      </c>
      <c r="C10" s="6">
        <v>11</v>
      </c>
      <c r="D10" s="2">
        <f t="shared" si="2"/>
        <v>194</v>
      </c>
      <c r="E10" s="5">
        <v>184</v>
      </c>
      <c r="F10" s="2">
        <f t="shared" si="0"/>
        <v>10</v>
      </c>
      <c r="G10" s="10">
        <f t="shared" si="1"/>
        <v>0.94845360824742264</v>
      </c>
    </row>
    <row r="11" spans="1:7" x14ac:dyDescent="0.25">
      <c r="A11" s="3">
        <v>45848</v>
      </c>
      <c r="B11" s="2">
        <v>205</v>
      </c>
      <c r="C11" s="6">
        <v>11</v>
      </c>
      <c r="D11" s="2">
        <f t="shared" si="2"/>
        <v>194</v>
      </c>
      <c r="E11" s="5">
        <v>191</v>
      </c>
      <c r="F11" s="2">
        <f t="shared" si="0"/>
        <v>3</v>
      </c>
      <c r="G11" s="10">
        <f t="shared" si="1"/>
        <v>0.98453608247422686</v>
      </c>
    </row>
    <row r="12" spans="1:7" x14ac:dyDescent="0.25">
      <c r="A12" s="3">
        <v>45849</v>
      </c>
      <c r="B12" s="2">
        <v>205</v>
      </c>
      <c r="C12" s="6">
        <v>11</v>
      </c>
      <c r="D12" s="2">
        <f t="shared" si="2"/>
        <v>194</v>
      </c>
      <c r="E12" s="5">
        <v>192</v>
      </c>
      <c r="F12" s="2">
        <f t="shared" si="0"/>
        <v>2</v>
      </c>
      <c r="G12" s="10">
        <f t="shared" si="1"/>
        <v>0.98969072164948457</v>
      </c>
    </row>
    <row r="13" spans="1:7" x14ac:dyDescent="0.25">
      <c r="A13" s="3">
        <v>45850</v>
      </c>
      <c r="B13" s="2">
        <v>205</v>
      </c>
      <c r="C13" s="6">
        <v>11</v>
      </c>
      <c r="D13" s="2">
        <f t="shared" si="2"/>
        <v>194</v>
      </c>
      <c r="E13" s="5">
        <v>185</v>
      </c>
      <c r="F13" s="2">
        <f t="shared" si="0"/>
        <v>9</v>
      </c>
      <c r="G13" s="10">
        <f t="shared" si="1"/>
        <v>0.95360824742268047</v>
      </c>
    </row>
    <row r="14" spans="1:7" x14ac:dyDescent="0.25">
      <c r="A14" s="3">
        <v>45851</v>
      </c>
      <c r="B14" s="2">
        <v>205</v>
      </c>
      <c r="C14" s="6">
        <v>12</v>
      </c>
      <c r="D14" s="2">
        <f t="shared" si="2"/>
        <v>193</v>
      </c>
      <c r="E14" s="5">
        <v>193</v>
      </c>
      <c r="F14" s="2">
        <f t="shared" si="0"/>
        <v>0</v>
      </c>
      <c r="G14" s="10">
        <f t="shared" si="1"/>
        <v>1</v>
      </c>
    </row>
    <row r="15" spans="1:7" x14ac:dyDescent="0.25">
      <c r="A15" s="3">
        <v>45852</v>
      </c>
      <c r="B15" s="2">
        <v>205</v>
      </c>
      <c r="C15" s="6">
        <v>13</v>
      </c>
      <c r="D15" s="2">
        <f t="shared" si="2"/>
        <v>192</v>
      </c>
      <c r="E15" s="5">
        <v>187</v>
      </c>
      <c r="F15" s="2">
        <f t="shared" si="0"/>
        <v>5</v>
      </c>
      <c r="G15" s="10">
        <f t="shared" si="1"/>
        <v>0.97395833333333337</v>
      </c>
    </row>
    <row r="16" spans="1:7" x14ac:dyDescent="0.25">
      <c r="A16" s="3">
        <v>45853</v>
      </c>
      <c r="B16" s="2">
        <v>205</v>
      </c>
      <c r="C16" s="6">
        <v>13</v>
      </c>
      <c r="D16" s="2">
        <f t="shared" si="2"/>
        <v>192</v>
      </c>
      <c r="E16" s="5">
        <v>183</v>
      </c>
      <c r="F16" s="2">
        <f t="shared" si="0"/>
        <v>9</v>
      </c>
      <c r="G16" s="10">
        <f t="shared" si="1"/>
        <v>0.953125</v>
      </c>
    </row>
    <row r="17" spans="1:7" x14ac:dyDescent="0.25">
      <c r="A17" s="3">
        <v>45854</v>
      </c>
      <c r="B17" s="2">
        <v>205</v>
      </c>
      <c r="C17" s="6">
        <v>13</v>
      </c>
      <c r="D17" s="2">
        <f t="shared" si="2"/>
        <v>192</v>
      </c>
      <c r="E17" s="5">
        <v>180</v>
      </c>
      <c r="F17" s="2">
        <f t="shared" si="0"/>
        <v>12</v>
      </c>
      <c r="G17" s="10">
        <f t="shared" si="1"/>
        <v>0.9375</v>
      </c>
    </row>
    <row r="18" spans="1:7" x14ac:dyDescent="0.25">
      <c r="A18" s="3">
        <v>45855</v>
      </c>
      <c r="B18" s="2">
        <v>205</v>
      </c>
      <c r="C18" s="6">
        <v>11</v>
      </c>
      <c r="D18" s="2">
        <f t="shared" si="2"/>
        <v>194</v>
      </c>
      <c r="E18" s="5">
        <v>192</v>
      </c>
      <c r="F18" s="2">
        <f t="shared" si="0"/>
        <v>2</v>
      </c>
      <c r="G18" s="10">
        <f t="shared" si="1"/>
        <v>0.98969072164948457</v>
      </c>
    </row>
    <row r="19" spans="1:7" x14ac:dyDescent="0.25">
      <c r="A19" s="3">
        <v>45856</v>
      </c>
      <c r="B19" s="2">
        <v>205</v>
      </c>
      <c r="C19" s="6">
        <v>11</v>
      </c>
      <c r="D19" s="2">
        <f t="shared" si="2"/>
        <v>194</v>
      </c>
      <c r="E19" s="5">
        <v>193</v>
      </c>
      <c r="F19" s="2">
        <f t="shared" si="0"/>
        <v>1</v>
      </c>
      <c r="G19" s="10">
        <f t="shared" si="1"/>
        <v>0.99484536082474229</v>
      </c>
    </row>
    <row r="20" spans="1:7" x14ac:dyDescent="0.25">
      <c r="A20" s="3">
        <v>45857</v>
      </c>
      <c r="B20" s="2">
        <v>205</v>
      </c>
      <c r="C20" s="6">
        <v>7</v>
      </c>
      <c r="D20" s="2">
        <f t="shared" si="2"/>
        <v>198</v>
      </c>
      <c r="E20" s="5">
        <v>187</v>
      </c>
      <c r="F20" s="2">
        <f t="shared" si="0"/>
        <v>11</v>
      </c>
      <c r="G20" s="10">
        <f t="shared" si="1"/>
        <v>0.94444444444444442</v>
      </c>
    </row>
    <row r="21" spans="1:7" x14ac:dyDescent="0.25">
      <c r="A21" s="3">
        <v>45858</v>
      </c>
      <c r="B21" s="2">
        <v>205</v>
      </c>
      <c r="C21" s="6">
        <v>20</v>
      </c>
      <c r="D21" s="2">
        <f t="shared" si="2"/>
        <v>185</v>
      </c>
      <c r="E21" s="5">
        <v>185</v>
      </c>
      <c r="F21" s="2">
        <f t="shared" si="0"/>
        <v>0</v>
      </c>
      <c r="G21" s="10">
        <f t="shared" si="1"/>
        <v>1</v>
      </c>
    </row>
    <row r="22" spans="1:7" x14ac:dyDescent="0.25">
      <c r="A22" s="3">
        <v>45859</v>
      </c>
      <c r="B22" s="2">
        <v>205</v>
      </c>
      <c r="C22" s="6">
        <v>33</v>
      </c>
      <c r="D22" s="2">
        <f t="shared" si="2"/>
        <v>172</v>
      </c>
      <c r="E22" s="5">
        <v>171</v>
      </c>
      <c r="F22" s="2">
        <f t="shared" si="0"/>
        <v>1</v>
      </c>
      <c r="G22" s="10">
        <f t="shared" si="1"/>
        <v>0.9941860465116279</v>
      </c>
    </row>
    <row r="23" spans="1:7" x14ac:dyDescent="0.25">
      <c r="A23" s="3">
        <v>45860</v>
      </c>
      <c r="B23" s="2">
        <v>205</v>
      </c>
      <c r="C23" s="6">
        <v>33</v>
      </c>
      <c r="D23" s="2">
        <f t="shared" si="2"/>
        <v>172</v>
      </c>
      <c r="E23" s="5">
        <v>164</v>
      </c>
      <c r="F23" s="2">
        <f t="shared" si="0"/>
        <v>8</v>
      </c>
      <c r="G23" s="10">
        <f t="shared" si="1"/>
        <v>0.95348837209302328</v>
      </c>
    </row>
    <row r="24" spans="1:7" x14ac:dyDescent="0.25">
      <c r="A24" s="3">
        <v>45861</v>
      </c>
      <c r="B24" s="2">
        <v>205</v>
      </c>
      <c r="C24" s="6">
        <v>32</v>
      </c>
      <c r="D24" s="2">
        <f t="shared" si="2"/>
        <v>173</v>
      </c>
      <c r="E24" s="5">
        <v>165</v>
      </c>
      <c r="F24" s="2">
        <f t="shared" si="0"/>
        <v>8</v>
      </c>
      <c r="G24" s="10">
        <f t="shared" si="1"/>
        <v>0.95375722543352603</v>
      </c>
    </row>
    <row r="25" spans="1:7" x14ac:dyDescent="0.25">
      <c r="A25" s="3">
        <v>45862</v>
      </c>
      <c r="B25" s="2">
        <v>205</v>
      </c>
      <c r="C25" s="6">
        <v>33</v>
      </c>
      <c r="D25" s="2">
        <f t="shared" si="2"/>
        <v>172</v>
      </c>
      <c r="E25" s="5">
        <v>166</v>
      </c>
      <c r="F25" s="2">
        <f t="shared" si="0"/>
        <v>6</v>
      </c>
      <c r="G25" s="10">
        <f t="shared" si="1"/>
        <v>0.96511627906976749</v>
      </c>
    </row>
    <row r="26" spans="1:7" x14ac:dyDescent="0.25">
      <c r="A26" s="3">
        <v>45863</v>
      </c>
      <c r="B26" s="2">
        <v>205</v>
      </c>
      <c r="C26" s="6">
        <v>33</v>
      </c>
      <c r="D26" s="2">
        <f t="shared" si="2"/>
        <v>172</v>
      </c>
      <c r="E26" s="5">
        <v>169</v>
      </c>
      <c r="F26" s="2">
        <f t="shared" si="0"/>
        <v>3</v>
      </c>
      <c r="G26" s="10">
        <f t="shared" si="1"/>
        <v>0.98255813953488369</v>
      </c>
    </row>
    <row r="27" spans="1:7" x14ac:dyDescent="0.25">
      <c r="A27" s="3">
        <v>45864</v>
      </c>
      <c r="B27" s="2">
        <v>205</v>
      </c>
      <c r="C27" s="6">
        <v>35</v>
      </c>
      <c r="D27" s="2">
        <f t="shared" si="2"/>
        <v>170</v>
      </c>
      <c r="E27" s="5">
        <v>155</v>
      </c>
      <c r="F27" s="2">
        <f t="shared" si="0"/>
        <v>15</v>
      </c>
      <c r="G27" s="10">
        <f t="shared" si="1"/>
        <v>0.91176470588235292</v>
      </c>
    </row>
    <row r="28" spans="1:7" x14ac:dyDescent="0.25">
      <c r="A28" s="3">
        <v>45865</v>
      </c>
      <c r="B28" s="2">
        <v>205</v>
      </c>
      <c r="C28" s="6">
        <v>35</v>
      </c>
      <c r="D28" s="2">
        <f t="shared" si="2"/>
        <v>170</v>
      </c>
      <c r="E28" s="5">
        <v>180</v>
      </c>
      <c r="F28" s="2">
        <f t="shared" si="0"/>
        <v>-10</v>
      </c>
      <c r="G28" s="10">
        <f t="shared" si="1"/>
        <v>1.0588235294117647</v>
      </c>
    </row>
    <row r="29" spans="1:7" x14ac:dyDescent="0.25">
      <c r="A29" s="3">
        <v>45866</v>
      </c>
      <c r="B29" s="2">
        <v>205</v>
      </c>
      <c r="C29" s="6">
        <v>35</v>
      </c>
      <c r="D29" s="2">
        <f t="shared" si="2"/>
        <v>170</v>
      </c>
      <c r="E29" s="5">
        <v>165</v>
      </c>
      <c r="F29" s="2">
        <f t="shared" si="0"/>
        <v>5</v>
      </c>
      <c r="G29" s="10">
        <f t="shared" si="1"/>
        <v>0.97058823529411764</v>
      </c>
    </row>
    <row r="30" spans="1:7" x14ac:dyDescent="0.25">
      <c r="A30" s="3">
        <v>45867</v>
      </c>
      <c r="B30" s="2">
        <v>205</v>
      </c>
      <c r="C30" s="6">
        <v>34</v>
      </c>
      <c r="D30" s="2">
        <f t="shared" si="2"/>
        <v>171</v>
      </c>
      <c r="E30" s="5">
        <v>166</v>
      </c>
      <c r="F30" s="2">
        <f t="shared" si="0"/>
        <v>5</v>
      </c>
      <c r="G30" s="10">
        <f t="shared" si="1"/>
        <v>0.9707602339181286</v>
      </c>
    </row>
    <row r="31" spans="1:7" x14ac:dyDescent="0.25">
      <c r="A31" s="3">
        <v>45868</v>
      </c>
      <c r="B31" s="2">
        <v>205</v>
      </c>
      <c r="C31" s="6">
        <v>34</v>
      </c>
      <c r="D31" s="2">
        <f t="shared" si="2"/>
        <v>171</v>
      </c>
      <c r="E31" s="5">
        <v>167</v>
      </c>
      <c r="F31" s="2">
        <f t="shared" si="0"/>
        <v>4</v>
      </c>
      <c r="G31" s="10">
        <f t="shared" si="1"/>
        <v>0.97660818713450293</v>
      </c>
    </row>
    <row r="32" spans="1:7" x14ac:dyDescent="0.25">
      <c r="A32" s="3">
        <v>45869</v>
      </c>
      <c r="B32" s="2">
        <v>205</v>
      </c>
      <c r="C32" s="6">
        <v>35</v>
      </c>
      <c r="D32" s="2">
        <f t="shared" si="2"/>
        <v>170</v>
      </c>
      <c r="E32" s="5">
        <v>165</v>
      </c>
      <c r="F32" s="2">
        <f t="shared" si="0"/>
        <v>5</v>
      </c>
      <c r="G32" s="10">
        <f t="shared" si="1"/>
        <v>0.97058823529411764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E2A5-1E75-4DA9-A2F7-EF4907111849}">
  <dimension ref="A1:G32"/>
  <sheetViews>
    <sheetView zoomScale="85" zoomScaleNormal="85" workbookViewId="0">
      <selection activeCell="J29" sqref="J29"/>
    </sheetView>
  </sheetViews>
  <sheetFormatPr defaultRowHeight="15" x14ac:dyDescent="0.25"/>
  <cols>
    <col min="1" max="16" width="15.7109375" customWidth="1"/>
  </cols>
  <sheetData>
    <row r="1" spans="1:7" ht="30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7" x14ac:dyDescent="0.25">
      <c r="A2" s="3">
        <v>45870</v>
      </c>
      <c r="B2" s="2">
        <v>205</v>
      </c>
      <c r="C2" s="6">
        <v>37</v>
      </c>
      <c r="D2" s="2">
        <f>B2-C2</f>
        <v>168</v>
      </c>
      <c r="E2" s="5">
        <v>158</v>
      </c>
      <c r="F2" s="2">
        <f>D2-E2</f>
        <v>10</v>
      </c>
      <c r="G2" s="10">
        <f t="shared" ref="G2:G32" si="0">E2/D2</f>
        <v>0.94047619047619047</v>
      </c>
    </row>
    <row r="3" spans="1:7" x14ac:dyDescent="0.25">
      <c r="A3" s="3">
        <v>45871</v>
      </c>
      <c r="B3" s="2">
        <v>205</v>
      </c>
      <c r="C3" s="6">
        <v>38</v>
      </c>
      <c r="D3" s="2">
        <f t="shared" ref="D3:D32" si="1">B3-C3</f>
        <v>167</v>
      </c>
      <c r="E3" s="5">
        <v>135</v>
      </c>
      <c r="F3" s="2">
        <f t="shared" ref="F3:F32" si="2">D3-E3</f>
        <v>32</v>
      </c>
      <c r="G3" s="10">
        <f t="shared" si="0"/>
        <v>0.80838323353293418</v>
      </c>
    </row>
    <row r="4" spans="1:7" x14ac:dyDescent="0.25">
      <c r="A4" s="3">
        <v>45872</v>
      </c>
      <c r="B4" s="2">
        <v>205</v>
      </c>
      <c r="C4" s="6">
        <v>36</v>
      </c>
      <c r="D4" s="2">
        <f t="shared" si="1"/>
        <v>169</v>
      </c>
      <c r="E4" s="5">
        <v>155</v>
      </c>
      <c r="F4" s="2">
        <f t="shared" si="2"/>
        <v>14</v>
      </c>
      <c r="G4" s="10">
        <f t="shared" si="0"/>
        <v>0.91715976331360949</v>
      </c>
    </row>
    <row r="5" spans="1:7" x14ac:dyDescent="0.25">
      <c r="A5" s="3">
        <v>45873</v>
      </c>
      <c r="B5" s="2">
        <v>205</v>
      </c>
      <c r="C5" s="6">
        <v>53</v>
      </c>
      <c r="D5" s="2">
        <f t="shared" si="1"/>
        <v>152</v>
      </c>
      <c r="E5" s="5">
        <v>148</v>
      </c>
      <c r="F5" s="2">
        <f t="shared" si="2"/>
        <v>4</v>
      </c>
      <c r="G5" s="10">
        <f t="shared" si="0"/>
        <v>0.97368421052631582</v>
      </c>
    </row>
    <row r="6" spans="1:7" x14ac:dyDescent="0.25">
      <c r="A6" s="3">
        <v>45874</v>
      </c>
      <c r="B6" s="2">
        <v>205</v>
      </c>
      <c r="C6" s="6">
        <v>35</v>
      </c>
      <c r="D6" s="2">
        <f t="shared" si="1"/>
        <v>170</v>
      </c>
      <c r="E6" s="5">
        <v>155</v>
      </c>
      <c r="F6" s="2">
        <f t="shared" si="2"/>
        <v>15</v>
      </c>
      <c r="G6" s="10">
        <f t="shared" si="0"/>
        <v>0.91176470588235292</v>
      </c>
    </row>
    <row r="7" spans="1:7" x14ac:dyDescent="0.25">
      <c r="A7" s="3">
        <v>45875</v>
      </c>
      <c r="B7" s="2">
        <v>205</v>
      </c>
      <c r="C7" s="6">
        <v>35</v>
      </c>
      <c r="D7" s="2">
        <f t="shared" si="1"/>
        <v>170</v>
      </c>
      <c r="E7" s="5">
        <v>152</v>
      </c>
      <c r="F7" s="2">
        <f t="shared" si="2"/>
        <v>18</v>
      </c>
      <c r="G7" s="10">
        <f t="shared" si="0"/>
        <v>0.89411764705882357</v>
      </c>
    </row>
    <row r="8" spans="1:7" x14ac:dyDescent="0.25">
      <c r="A8" s="3">
        <v>45876</v>
      </c>
      <c r="B8" s="2">
        <v>205</v>
      </c>
      <c r="C8" s="6">
        <v>33</v>
      </c>
      <c r="D8" s="2">
        <f t="shared" si="1"/>
        <v>172</v>
      </c>
      <c r="E8" s="5">
        <v>159</v>
      </c>
      <c r="F8" s="2">
        <f t="shared" si="2"/>
        <v>13</v>
      </c>
      <c r="G8" s="10">
        <f t="shared" si="0"/>
        <v>0.92441860465116277</v>
      </c>
    </row>
    <row r="9" spans="1:7" x14ac:dyDescent="0.25">
      <c r="A9" s="3">
        <v>45877</v>
      </c>
      <c r="B9" s="2">
        <v>205</v>
      </c>
      <c r="C9" s="6">
        <v>33</v>
      </c>
      <c r="D9" s="2">
        <f t="shared" si="1"/>
        <v>172</v>
      </c>
      <c r="E9" s="5">
        <v>170</v>
      </c>
      <c r="F9" s="2">
        <f t="shared" si="2"/>
        <v>2</v>
      </c>
      <c r="G9" s="10">
        <f t="shared" si="0"/>
        <v>0.98837209302325579</v>
      </c>
    </row>
    <row r="10" spans="1:7" x14ac:dyDescent="0.25">
      <c r="A10" s="3">
        <v>45878</v>
      </c>
      <c r="B10" s="2">
        <v>205</v>
      </c>
      <c r="C10" s="6">
        <v>30</v>
      </c>
      <c r="D10" s="2">
        <f t="shared" si="1"/>
        <v>175</v>
      </c>
      <c r="E10" s="5">
        <v>155</v>
      </c>
      <c r="F10" s="2">
        <f t="shared" si="2"/>
        <v>20</v>
      </c>
      <c r="G10" s="10">
        <f t="shared" si="0"/>
        <v>0.88571428571428568</v>
      </c>
    </row>
    <row r="11" spans="1:7" x14ac:dyDescent="0.25">
      <c r="A11" s="3">
        <v>45879</v>
      </c>
      <c r="B11" s="2">
        <v>205</v>
      </c>
      <c r="C11" s="6">
        <v>36</v>
      </c>
      <c r="D11" s="2">
        <f t="shared" si="1"/>
        <v>169</v>
      </c>
      <c r="E11" s="5">
        <v>153</v>
      </c>
      <c r="F11" s="2">
        <f t="shared" si="2"/>
        <v>16</v>
      </c>
      <c r="G11" s="10">
        <f t="shared" si="0"/>
        <v>0.90532544378698221</v>
      </c>
    </row>
    <row r="12" spans="1:7" x14ac:dyDescent="0.25">
      <c r="A12" s="3">
        <v>45880</v>
      </c>
      <c r="B12" s="2">
        <v>205</v>
      </c>
      <c r="C12" s="6">
        <v>30</v>
      </c>
      <c r="D12" s="2">
        <f t="shared" si="1"/>
        <v>175</v>
      </c>
      <c r="E12" s="5">
        <v>154</v>
      </c>
      <c r="F12" s="2">
        <f t="shared" si="2"/>
        <v>21</v>
      </c>
      <c r="G12" s="10">
        <f t="shared" si="0"/>
        <v>0.88</v>
      </c>
    </row>
    <row r="13" spans="1:7" x14ac:dyDescent="0.25">
      <c r="A13" s="3">
        <v>45881</v>
      </c>
      <c r="B13" s="2">
        <v>205</v>
      </c>
      <c r="C13" s="6">
        <v>32</v>
      </c>
      <c r="D13" s="2">
        <f t="shared" si="1"/>
        <v>173</v>
      </c>
      <c r="E13" s="5">
        <v>150</v>
      </c>
      <c r="F13" s="2">
        <f>D13-E13</f>
        <v>23</v>
      </c>
      <c r="G13" s="10">
        <f t="shared" si="0"/>
        <v>0.86705202312138729</v>
      </c>
    </row>
    <row r="14" spans="1:7" x14ac:dyDescent="0.25">
      <c r="A14" s="3">
        <v>45882</v>
      </c>
      <c r="B14" s="2">
        <v>205</v>
      </c>
      <c r="C14" s="6">
        <v>34</v>
      </c>
      <c r="D14" s="2">
        <f t="shared" si="1"/>
        <v>171</v>
      </c>
      <c r="E14" s="5">
        <v>153</v>
      </c>
      <c r="F14" s="2">
        <f t="shared" si="2"/>
        <v>18</v>
      </c>
      <c r="G14" s="10">
        <f t="shared" si="0"/>
        <v>0.89473684210526316</v>
      </c>
    </row>
    <row r="15" spans="1:7" x14ac:dyDescent="0.25">
      <c r="A15" s="3">
        <v>45883</v>
      </c>
      <c r="B15" s="2">
        <v>205</v>
      </c>
      <c r="C15" s="6">
        <v>34</v>
      </c>
      <c r="D15" s="2">
        <f t="shared" si="1"/>
        <v>171</v>
      </c>
      <c r="E15" s="5">
        <v>158</v>
      </c>
      <c r="F15" s="2">
        <f t="shared" si="2"/>
        <v>13</v>
      </c>
      <c r="G15" s="10">
        <f t="shared" si="0"/>
        <v>0.92397660818713445</v>
      </c>
    </row>
    <row r="16" spans="1:7" x14ac:dyDescent="0.25">
      <c r="A16" s="3">
        <v>45884</v>
      </c>
      <c r="B16" s="2">
        <v>205</v>
      </c>
      <c r="C16" s="6">
        <v>33</v>
      </c>
      <c r="D16" s="2">
        <f t="shared" si="1"/>
        <v>172</v>
      </c>
      <c r="E16" s="5">
        <v>167</v>
      </c>
      <c r="F16" s="2">
        <f t="shared" si="2"/>
        <v>5</v>
      </c>
      <c r="G16" s="10">
        <f t="shared" si="0"/>
        <v>0.97093023255813948</v>
      </c>
    </row>
    <row r="17" spans="1:7" x14ac:dyDescent="0.25">
      <c r="A17" s="3">
        <v>45885</v>
      </c>
      <c r="B17" s="2">
        <v>205</v>
      </c>
      <c r="C17" s="6">
        <v>30</v>
      </c>
      <c r="D17" s="2">
        <f t="shared" si="1"/>
        <v>175</v>
      </c>
      <c r="E17" s="5">
        <v>160</v>
      </c>
      <c r="F17" s="2">
        <f t="shared" si="2"/>
        <v>15</v>
      </c>
      <c r="G17" s="10">
        <f t="shared" si="0"/>
        <v>0.91428571428571426</v>
      </c>
    </row>
    <row r="18" spans="1:7" x14ac:dyDescent="0.25">
      <c r="A18" s="3">
        <v>45886</v>
      </c>
      <c r="B18" s="2">
        <v>205</v>
      </c>
      <c r="C18" s="6">
        <v>31</v>
      </c>
      <c r="D18" s="2">
        <f t="shared" si="1"/>
        <v>174</v>
      </c>
      <c r="E18" s="5">
        <v>102</v>
      </c>
      <c r="F18" s="2">
        <f t="shared" si="2"/>
        <v>72</v>
      </c>
      <c r="G18" s="10">
        <f t="shared" si="0"/>
        <v>0.58620689655172409</v>
      </c>
    </row>
    <row r="19" spans="1:7" x14ac:dyDescent="0.25">
      <c r="A19" s="3">
        <v>45887</v>
      </c>
      <c r="B19" s="2">
        <v>205</v>
      </c>
      <c r="C19" s="6">
        <v>22</v>
      </c>
      <c r="D19" s="2">
        <f t="shared" si="1"/>
        <v>183</v>
      </c>
      <c r="E19" s="5">
        <v>75</v>
      </c>
      <c r="F19" s="2">
        <f t="shared" si="2"/>
        <v>108</v>
      </c>
      <c r="G19" s="10">
        <f t="shared" si="0"/>
        <v>0.4098360655737705</v>
      </c>
    </row>
    <row r="20" spans="1:7" x14ac:dyDescent="0.25">
      <c r="A20" s="3">
        <v>45888</v>
      </c>
      <c r="B20" s="2">
        <v>205</v>
      </c>
      <c r="C20" s="6">
        <v>5</v>
      </c>
      <c r="D20" s="2">
        <f t="shared" si="1"/>
        <v>200</v>
      </c>
      <c r="E20" s="5">
        <v>42</v>
      </c>
      <c r="F20" s="2">
        <f t="shared" si="2"/>
        <v>158</v>
      </c>
      <c r="G20" s="10">
        <f t="shared" si="0"/>
        <v>0.21</v>
      </c>
    </row>
    <row r="21" spans="1:7" x14ac:dyDescent="0.25">
      <c r="A21" s="3">
        <v>45889</v>
      </c>
      <c r="B21" s="2">
        <v>205</v>
      </c>
      <c r="C21" s="6">
        <v>4</v>
      </c>
      <c r="D21" s="2">
        <f t="shared" si="1"/>
        <v>201</v>
      </c>
      <c r="E21" s="5">
        <v>189</v>
      </c>
      <c r="F21" s="2">
        <f t="shared" si="2"/>
        <v>12</v>
      </c>
      <c r="G21" s="10">
        <f t="shared" si="0"/>
        <v>0.94029850746268662</v>
      </c>
    </row>
    <row r="22" spans="1:7" x14ac:dyDescent="0.25">
      <c r="A22" s="3">
        <v>45890</v>
      </c>
      <c r="B22" s="2">
        <v>205</v>
      </c>
      <c r="C22" s="6">
        <v>3</v>
      </c>
      <c r="D22" s="2">
        <f t="shared" si="1"/>
        <v>202</v>
      </c>
      <c r="E22" s="5">
        <v>196</v>
      </c>
      <c r="F22" s="2">
        <f t="shared" si="2"/>
        <v>6</v>
      </c>
      <c r="G22" s="10">
        <f t="shared" si="0"/>
        <v>0.97029702970297027</v>
      </c>
    </row>
    <row r="23" spans="1:7" x14ac:dyDescent="0.25">
      <c r="A23" s="3">
        <v>45891</v>
      </c>
      <c r="B23" s="2">
        <v>205</v>
      </c>
      <c r="C23" s="6">
        <v>2</v>
      </c>
      <c r="D23" s="2">
        <f t="shared" si="1"/>
        <v>203</v>
      </c>
      <c r="E23" s="5">
        <v>201</v>
      </c>
      <c r="F23" s="2">
        <f t="shared" si="2"/>
        <v>2</v>
      </c>
      <c r="G23" s="10">
        <f t="shared" si="0"/>
        <v>0.99014778325123154</v>
      </c>
    </row>
    <row r="24" spans="1:7" x14ac:dyDescent="0.25">
      <c r="A24" s="3">
        <v>45892</v>
      </c>
      <c r="B24" s="2">
        <v>205</v>
      </c>
      <c r="C24" s="6">
        <v>2</v>
      </c>
      <c r="D24" s="2">
        <f t="shared" si="1"/>
        <v>203</v>
      </c>
      <c r="E24" s="5">
        <v>200</v>
      </c>
      <c r="F24" s="2">
        <f t="shared" si="2"/>
        <v>3</v>
      </c>
      <c r="G24" s="10">
        <f t="shared" si="0"/>
        <v>0.98522167487684731</v>
      </c>
    </row>
    <row r="25" spans="1:7" x14ac:dyDescent="0.25">
      <c r="A25" s="3">
        <v>45893</v>
      </c>
      <c r="B25" s="2">
        <v>205</v>
      </c>
      <c r="C25" s="6">
        <v>19</v>
      </c>
      <c r="D25" s="2">
        <f t="shared" si="1"/>
        <v>186</v>
      </c>
      <c r="E25" s="5">
        <v>162</v>
      </c>
      <c r="F25" s="2">
        <f t="shared" si="2"/>
        <v>24</v>
      </c>
      <c r="G25" s="10">
        <f t="shared" si="0"/>
        <v>0.87096774193548387</v>
      </c>
    </row>
    <row r="26" spans="1:7" x14ac:dyDescent="0.25">
      <c r="A26" s="3">
        <v>45894</v>
      </c>
      <c r="B26" s="2">
        <v>205</v>
      </c>
      <c r="C26" s="6">
        <v>35</v>
      </c>
      <c r="D26" s="2">
        <f t="shared" si="1"/>
        <v>170</v>
      </c>
      <c r="E26" s="5">
        <v>113</v>
      </c>
      <c r="F26" s="2">
        <f t="shared" si="2"/>
        <v>57</v>
      </c>
      <c r="G26" s="10">
        <f t="shared" si="0"/>
        <v>0.66470588235294115</v>
      </c>
    </row>
    <row r="27" spans="1:7" x14ac:dyDescent="0.25">
      <c r="A27" s="3">
        <v>45895</v>
      </c>
      <c r="B27" s="2">
        <v>205</v>
      </c>
      <c r="C27" s="6">
        <v>35</v>
      </c>
      <c r="D27" s="2">
        <f t="shared" si="1"/>
        <v>170</v>
      </c>
      <c r="E27" s="5">
        <v>150</v>
      </c>
      <c r="F27" s="2">
        <f t="shared" si="2"/>
        <v>20</v>
      </c>
      <c r="G27" s="10">
        <f t="shared" si="0"/>
        <v>0.88235294117647056</v>
      </c>
    </row>
    <row r="28" spans="1:7" x14ac:dyDescent="0.25">
      <c r="A28" s="3">
        <v>45896</v>
      </c>
      <c r="B28" s="2">
        <v>205</v>
      </c>
      <c r="C28" s="6">
        <v>33</v>
      </c>
      <c r="D28" s="2">
        <f t="shared" si="1"/>
        <v>172</v>
      </c>
      <c r="E28" s="5">
        <v>159</v>
      </c>
      <c r="F28" s="2">
        <f t="shared" si="2"/>
        <v>13</v>
      </c>
      <c r="G28" s="10">
        <f t="shared" si="0"/>
        <v>0.92441860465116277</v>
      </c>
    </row>
    <row r="29" spans="1:7" x14ac:dyDescent="0.25">
      <c r="A29" s="3">
        <v>45897</v>
      </c>
      <c r="B29" s="2">
        <v>205</v>
      </c>
      <c r="C29" s="6">
        <v>33</v>
      </c>
      <c r="D29" s="2">
        <f t="shared" si="1"/>
        <v>172</v>
      </c>
      <c r="E29" s="5">
        <v>164</v>
      </c>
      <c r="F29" s="2">
        <f t="shared" si="2"/>
        <v>8</v>
      </c>
      <c r="G29" s="10">
        <f t="shared" si="0"/>
        <v>0.95348837209302328</v>
      </c>
    </row>
    <row r="30" spans="1:7" x14ac:dyDescent="0.25">
      <c r="A30" s="3">
        <v>45898</v>
      </c>
      <c r="B30" s="2">
        <v>205</v>
      </c>
      <c r="C30" s="6">
        <v>30</v>
      </c>
      <c r="D30" s="2">
        <f t="shared" si="1"/>
        <v>175</v>
      </c>
      <c r="E30" s="5">
        <v>168</v>
      </c>
      <c r="F30" s="2">
        <f t="shared" si="2"/>
        <v>7</v>
      </c>
      <c r="G30" s="10">
        <f t="shared" si="0"/>
        <v>0.96</v>
      </c>
    </row>
    <row r="31" spans="1:7" x14ac:dyDescent="0.25">
      <c r="A31" s="3">
        <v>45899</v>
      </c>
      <c r="B31" s="2">
        <v>205</v>
      </c>
      <c r="C31" s="6">
        <v>30</v>
      </c>
      <c r="D31" s="2">
        <f t="shared" si="1"/>
        <v>175</v>
      </c>
      <c r="E31" s="5">
        <v>161</v>
      </c>
      <c r="F31" s="2">
        <f t="shared" si="2"/>
        <v>14</v>
      </c>
      <c r="G31" s="10">
        <f t="shared" si="0"/>
        <v>0.92</v>
      </c>
    </row>
    <row r="32" spans="1:7" x14ac:dyDescent="0.25">
      <c r="A32" s="3">
        <v>45900</v>
      </c>
      <c r="B32" s="2">
        <v>205</v>
      </c>
      <c r="C32" s="6">
        <v>32</v>
      </c>
      <c r="D32" s="2">
        <f t="shared" si="1"/>
        <v>173</v>
      </c>
      <c r="E32" s="5">
        <v>149</v>
      </c>
      <c r="F32" s="2">
        <f t="shared" si="2"/>
        <v>24</v>
      </c>
      <c r="G32" s="10">
        <f t="shared" si="0"/>
        <v>0.86127167630057799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6038-8D1F-4BA2-9F1C-E024A62A3217}">
  <dimension ref="A1:G31"/>
  <sheetViews>
    <sheetView zoomScale="70" zoomScaleNormal="70" workbookViewId="0">
      <selection activeCell="E2" sqref="E2:E31"/>
    </sheetView>
  </sheetViews>
  <sheetFormatPr defaultRowHeight="15" x14ac:dyDescent="0.25"/>
  <cols>
    <col min="1" max="16" width="15.7109375" customWidth="1"/>
  </cols>
  <sheetData>
    <row r="1" spans="1:7" ht="30" x14ac:dyDescent="0.25">
      <c r="A1" s="1" t="s">
        <v>0</v>
      </c>
      <c r="B1" s="1" t="s">
        <v>2</v>
      </c>
      <c r="C1" s="1" t="s">
        <v>4</v>
      </c>
      <c r="D1" s="7" t="s">
        <v>5</v>
      </c>
      <c r="E1" s="1" t="s">
        <v>1</v>
      </c>
      <c r="F1" s="1" t="s">
        <v>3</v>
      </c>
      <c r="G1" s="1" t="s">
        <v>6</v>
      </c>
    </row>
    <row r="2" spans="1:7" x14ac:dyDescent="0.25">
      <c r="A2" s="3">
        <v>45901</v>
      </c>
      <c r="B2" s="2">
        <v>205</v>
      </c>
      <c r="C2" s="6">
        <v>35</v>
      </c>
      <c r="D2" s="2">
        <f>B2-C2</f>
        <v>170</v>
      </c>
      <c r="E2" s="5">
        <v>165</v>
      </c>
      <c r="F2" s="2">
        <f>D2-E2</f>
        <v>5</v>
      </c>
      <c r="G2" s="10">
        <f>E2/D2</f>
        <v>0.97058823529411764</v>
      </c>
    </row>
    <row r="3" spans="1:7" x14ac:dyDescent="0.25">
      <c r="A3" s="3">
        <v>45902</v>
      </c>
      <c r="B3" s="2">
        <v>205</v>
      </c>
      <c r="C3" s="6">
        <v>35</v>
      </c>
      <c r="D3" s="2">
        <f t="shared" ref="D3:D31" si="0">B3-C3</f>
        <v>170</v>
      </c>
      <c r="E3" s="5">
        <v>157</v>
      </c>
      <c r="F3" s="2">
        <f t="shared" ref="F3:F31" si="1">D3-E3</f>
        <v>13</v>
      </c>
      <c r="G3" s="10">
        <f t="shared" ref="G3:G31" si="2">E3/D3</f>
        <v>0.92352941176470593</v>
      </c>
    </row>
    <row r="4" spans="1:7" x14ac:dyDescent="0.25">
      <c r="A4" s="3">
        <v>45903</v>
      </c>
      <c r="B4" s="2">
        <v>205</v>
      </c>
      <c r="C4" s="6">
        <v>34</v>
      </c>
      <c r="D4" s="2">
        <f t="shared" si="0"/>
        <v>171</v>
      </c>
      <c r="E4" s="5">
        <v>157</v>
      </c>
      <c r="F4" s="2">
        <f t="shared" si="1"/>
        <v>14</v>
      </c>
      <c r="G4" s="10">
        <f t="shared" si="2"/>
        <v>0.91812865497076024</v>
      </c>
    </row>
    <row r="5" spans="1:7" x14ac:dyDescent="0.25">
      <c r="A5" s="3">
        <v>45904</v>
      </c>
      <c r="B5" s="2">
        <v>205</v>
      </c>
      <c r="C5" s="6">
        <v>34</v>
      </c>
      <c r="D5" s="2">
        <f t="shared" si="0"/>
        <v>171</v>
      </c>
      <c r="E5" s="5">
        <v>168</v>
      </c>
      <c r="F5" s="2">
        <f t="shared" si="1"/>
        <v>3</v>
      </c>
      <c r="G5" s="10">
        <f t="shared" si="2"/>
        <v>0.98245614035087714</v>
      </c>
    </row>
    <row r="6" spans="1:7" x14ac:dyDescent="0.25">
      <c r="A6" s="3">
        <v>45905</v>
      </c>
      <c r="B6" s="2">
        <v>205</v>
      </c>
      <c r="C6" s="6">
        <v>34</v>
      </c>
      <c r="D6" s="2">
        <f t="shared" si="0"/>
        <v>171</v>
      </c>
      <c r="E6" s="5">
        <v>167</v>
      </c>
      <c r="F6" s="2">
        <f t="shared" si="1"/>
        <v>4</v>
      </c>
      <c r="G6" s="10">
        <f t="shared" si="2"/>
        <v>0.97660818713450293</v>
      </c>
    </row>
    <row r="7" spans="1:7" x14ac:dyDescent="0.25">
      <c r="A7" s="3">
        <v>45906</v>
      </c>
      <c r="B7" s="2">
        <v>205</v>
      </c>
      <c r="C7" s="6">
        <v>35</v>
      </c>
      <c r="D7" s="2">
        <f t="shared" si="0"/>
        <v>170</v>
      </c>
      <c r="E7" s="5">
        <v>167</v>
      </c>
      <c r="F7" s="2">
        <f t="shared" si="1"/>
        <v>3</v>
      </c>
      <c r="G7" s="10">
        <f t="shared" si="2"/>
        <v>0.98235294117647054</v>
      </c>
    </row>
    <row r="8" spans="1:7" x14ac:dyDescent="0.25">
      <c r="A8" s="3">
        <v>45907</v>
      </c>
      <c r="B8" s="2">
        <v>205</v>
      </c>
      <c r="C8" s="6">
        <v>36</v>
      </c>
      <c r="D8" s="2">
        <f t="shared" si="0"/>
        <v>169</v>
      </c>
      <c r="E8" s="5">
        <v>171</v>
      </c>
      <c r="F8" s="2">
        <f t="shared" si="1"/>
        <v>-2</v>
      </c>
      <c r="G8" s="10">
        <f t="shared" si="2"/>
        <v>1.0118343195266273</v>
      </c>
    </row>
    <row r="9" spans="1:7" x14ac:dyDescent="0.25">
      <c r="A9" s="3">
        <v>45908</v>
      </c>
      <c r="B9" s="2">
        <v>205</v>
      </c>
      <c r="C9" s="6">
        <v>27</v>
      </c>
      <c r="D9" s="2">
        <f t="shared" si="0"/>
        <v>178</v>
      </c>
      <c r="E9" s="5">
        <v>171</v>
      </c>
      <c r="F9" s="2">
        <f t="shared" si="1"/>
        <v>7</v>
      </c>
      <c r="G9" s="10">
        <f t="shared" si="2"/>
        <v>0.9606741573033708</v>
      </c>
    </row>
    <row r="10" spans="1:7" x14ac:dyDescent="0.25">
      <c r="A10" s="3">
        <v>45909</v>
      </c>
      <c r="B10" s="2">
        <v>205</v>
      </c>
      <c r="C10" s="6">
        <v>13</v>
      </c>
      <c r="D10" s="2">
        <f t="shared" si="0"/>
        <v>192</v>
      </c>
      <c r="E10" s="5">
        <v>183</v>
      </c>
      <c r="F10" s="2">
        <f t="shared" si="1"/>
        <v>9</v>
      </c>
      <c r="G10" s="10">
        <f t="shared" si="2"/>
        <v>0.953125</v>
      </c>
    </row>
    <row r="11" spans="1:7" x14ac:dyDescent="0.25">
      <c r="A11" s="3">
        <v>45910</v>
      </c>
      <c r="B11" s="2">
        <v>205</v>
      </c>
      <c r="C11" s="6">
        <v>12</v>
      </c>
      <c r="D11" s="2">
        <f t="shared" si="0"/>
        <v>193</v>
      </c>
      <c r="E11" s="5">
        <v>184</v>
      </c>
      <c r="F11" s="2">
        <f t="shared" si="1"/>
        <v>9</v>
      </c>
      <c r="G11" s="10">
        <f t="shared" si="2"/>
        <v>0.95336787564766834</v>
      </c>
    </row>
    <row r="12" spans="1:7" x14ac:dyDescent="0.25">
      <c r="A12" s="3">
        <v>45911</v>
      </c>
      <c r="B12" s="2">
        <v>205</v>
      </c>
      <c r="C12" s="6">
        <v>11</v>
      </c>
      <c r="D12" s="2">
        <f t="shared" si="0"/>
        <v>194</v>
      </c>
      <c r="E12" s="5">
        <v>185</v>
      </c>
      <c r="F12" s="2">
        <f t="shared" si="1"/>
        <v>9</v>
      </c>
      <c r="G12" s="10">
        <f t="shared" si="2"/>
        <v>0.95360824742268047</v>
      </c>
    </row>
    <row r="13" spans="1:7" x14ac:dyDescent="0.25">
      <c r="A13" s="3">
        <v>45912</v>
      </c>
      <c r="B13" s="2">
        <v>205</v>
      </c>
      <c r="C13" s="6">
        <v>10</v>
      </c>
      <c r="D13" s="2">
        <f t="shared" si="0"/>
        <v>195</v>
      </c>
      <c r="E13" s="5">
        <v>199</v>
      </c>
      <c r="F13" s="2">
        <f t="shared" si="1"/>
        <v>-4</v>
      </c>
      <c r="G13" s="10">
        <f t="shared" si="2"/>
        <v>1.0205128205128204</v>
      </c>
    </row>
    <row r="14" spans="1:7" x14ac:dyDescent="0.25">
      <c r="A14" s="3">
        <v>45913</v>
      </c>
      <c r="B14" s="2">
        <v>205</v>
      </c>
      <c r="C14" s="6">
        <v>10</v>
      </c>
      <c r="D14" s="2">
        <f t="shared" si="0"/>
        <v>195</v>
      </c>
      <c r="E14" s="5">
        <v>183</v>
      </c>
      <c r="F14" s="2">
        <f t="shared" si="1"/>
        <v>12</v>
      </c>
      <c r="G14" s="10">
        <f t="shared" si="2"/>
        <v>0.93846153846153846</v>
      </c>
    </row>
    <row r="15" spans="1:7" x14ac:dyDescent="0.25">
      <c r="A15" s="3">
        <v>45914</v>
      </c>
      <c r="B15" s="2">
        <v>205</v>
      </c>
      <c r="C15" s="6">
        <v>10</v>
      </c>
      <c r="D15" s="2">
        <f t="shared" si="0"/>
        <v>195</v>
      </c>
      <c r="E15" s="5">
        <v>188</v>
      </c>
      <c r="F15" s="2">
        <f t="shared" si="1"/>
        <v>7</v>
      </c>
      <c r="G15" s="10">
        <f t="shared" si="2"/>
        <v>0.96410256410256412</v>
      </c>
    </row>
    <row r="16" spans="1:7" x14ac:dyDescent="0.25">
      <c r="A16" s="3">
        <v>45915</v>
      </c>
      <c r="B16" s="2">
        <v>205</v>
      </c>
      <c r="C16" s="6">
        <v>10</v>
      </c>
      <c r="D16" s="2">
        <f t="shared" si="0"/>
        <v>195</v>
      </c>
      <c r="E16" s="5">
        <v>201</v>
      </c>
      <c r="F16" s="2">
        <f t="shared" si="1"/>
        <v>-6</v>
      </c>
      <c r="G16" s="10">
        <f t="shared" si="2"/>
        <v>1.0307692307692307</v>
      </c>
    </row>
    <row r="17" spans="1:7" x14ac:dyDescent="0.25">
      <c r="A17" s="3">
        <v>45916</v>
      </c>
      <c r="B17" s="2">
        <v>205</v>
      </c>
      <c r="C17" s="6">
        <v>10</v>
      </c>
      <c r="D17" s="2">
        <f t="shared" si="0"/>
        <v>195</v>
      </c>
      <c r="E17" s="5">
        <v>189</v>
      </c>
      <c r="F17" s="2">
        <f t="shared" si="1"/>
        <v>6</v>
      </c>
      <c r="G17" s="10">
        <f t="shared" si="2"/>
        <v>0.96923076923076923</v>
      </c>
    </row>
    <row r="18" spans="1:7" x14ac:dyDescent="0.25">
      <c r="A18" s="3">
        <v>45917</v>
      </c>
      <c r="B18" s="2">
        <v>205</v>
      </c>
      <c r="C18" s="6">
        <v>10</v>
      </c>
      <c r="D18" s="2">
        <f t="shared" si="0"/>
        <v>195</v>
      </c>
      <c r="E18" s="5">
        <v>191</v>
      </c>
      <c r="F18" s="2">
        <f t="shared" si="1"/>
        <v>4</v>
      </c>
      <c r="G18" s="10">
        <f t="shared" si="2"/>
        <v>0.97948717948717945</v>
      </c>
    </row>
    <row r="19" spans="1:7" x14ac:dyDescent="0.25">
      <c r="A19" s="3">
        <v>45918</v>
      </c>
      <c r="B19" s="2">
        <v>205</v>
      </c>
      <c r="C19" s="6">
        <v>13</v>
      </c>
      <c r="D19" s="2">
        <f t="shared" si="0"/>
        <v>192</v>
      </c>
      <c r="E19" s="5">
        <v>186</v>
      </c>
      <c r="F19" s="2">
        <f t="shared" si="1"/>
        <v>6</v>
      </c>
      <c r="G19" s="10">
        <f t="shared" si="2"/>
        <v>0.96875</v>
      </c>
    </row>
    <row r="20" spans="1:7" x14ac:dyDescent="0.25">
      <c r="A20" s="3">
        <v>45919</v>
      </c>
      <c r="B20" s="2">
        <v>205</v>
      </c>
      <c r="C20" s="6">
        <v>13</v>
      </c>
      <c r="D20" s="2">
        <f t="shared" si="0"/>
        <v>192</v>
      </c>
      <c r="E20" s="5">
        <v>189</v>
      </c>
      <c r="F20" s="2">
        <f t="shared" si="1"/>
        <v>3</v>
      </c>
      <c r="G20" s="10">
        <f t="shared" si="2"/>
        <v>0.984375</v>
      </c>
    </row>
    <row r="21" spans="1:7" x14ac:dyDescent="0.25">
      <c r="A21" s="3">
        <v>45920</v>
      </c>
      <c r="B21" s="2">
        <v>205</v>
      </c>
      <c r="C21" s="6">
        <v>14</v>
      </c>
      <c r="D21" s="2">
        <f t="shared" si="0"/>
        <v>191</v>
      </c>
      <c r="E21" s="5">
        <v>174</v>
      </c>
      <c r="F21" s="2">
        <f t="shared" si="1"/>
        <v>17</v>
      </c>
      <c r="G21" s="10">
        <f t="shared" si="2"/>
        <v>0.91099476439790572</v>
      </c>
    </row>
    <row r="22" spans="1:7" x14ac:dyDescent="0.25">
      <c r="A22" s="3">
        <v>45921</v>
      </c>
      <c r="B22" s="2">
        <v>205</v>
      </c>
      <c r="C22" s="6">
        <v>12</v>
      </c>
      <c r="D22" s="2">
        <f t="shared" si="0"/>
        <v>193</v>
      </c>
      <c r="E22" s="5">
        <v>192</v>
      </c>
      <c r="F22" s="2">
        <f t="shared" si="1"/>
        <v>1</v>
      </c>
      <c r="G22" s="10">
        <f t="shared" si="2"/>
        <v>0.99481865284974091</v>
      </c>
    </row>
    <row r="23" spans="1:7" x14ac:dyDescent="0.25">
      <c r="A23" s="3">
        <v>45922</v>
      </c>
      <c r="B23" s="2">
        <v>205</v>
      </c>
      <c r="C23" s="6">
        <v>12</v>
      </c>
      <c r="D23" s="2">
        <f t="shared" si="0"/>
        <v>193</v>
      </c>
      <c r="E23" s="5">
        <v>186</v>
      </c>
      <c r="F23" s="2">
        <f t="shared" si="1"/>
        <v>7</v>
      </c>
      <c r="G23" s="10">
        <f t="shared" si="2"/>
        <v>0.96373056994818651</v>
      </c>
    </row>
    <row r="24" spans="1:7" x14ac:dyDescent="0.25">
      <c r="A24" s="3">
        <v>45923</v>
      </c>
      <c r="B24" s="2">
        <v>205</v>
      </c>
      <c r="C24" s="6">
        <v>11</v>
      </c>
      <c r="D24" s="2">
        <f t="shared" si="0"/>
        <v>194</v>
      </c>
      <c r="E24" s="5">
        <v>181</v>
      </c>
      <c r="F24" s="2">
        <f t="shared" si="1"/>
        <v>13</v>
      </c>
      <c r="G24" s="10">
        <f t="shared" si="2"/>
        <v>0.9329896907216495</v>
      </c>
    </row>
    <row r="25" spans="1:7" x14ac:dyDescent="0.25">
      <c r="A25" s="3">
        <v>45924</v>
      </c>
      <c r="B25" s="2">
        <v>205</v>
      </c>
      <c r="C25" s="6">
        <v>11</v>
      </c>
      <c r="D25" s="2">
        <f t="shared" si="0"/>
        <v>194</v>
      </c>
      <c r="E25" s="5">
        <v>213</v>
      </c>
      <c r="F25" s="2">
        <f t="shared" si="1"/>
        <v>-19</v>
      </c>
      <c r="G25" s="10">
        <f t="shared" si="2"/>
        <v>1.097938144329897</v>
      </c>
    </row>
    <row r="26" spans="1:7" x14ac:dyDescent="0.25">
      <c r="A26" s="3">
        <v>45925</v>
      </c>
      <c r="B26" s="2">
        <v>205</v>
      </c>
      <c r="C26" s="6">
        <v>12</v>
      </c>
      <c r="D26" s="2">
        <f t="shared" si="0"/>
        <v>193</v>
      </c>
      <c r="E26" s="5">
        <v>189</v>
      </c>
      <c r="F26" s="2">
        <f t="shared" si="1"/>
        <v>4</v>
      </c>
      <c r="G26" s="10">
        <f t="shared" si="2"/>
        <v>0.97927461139896377</v>
      </c>
    </row>
    <row r="27" spans="1:7" x14ac:dyDescent="0.25">
      <c r="A27" s="3">
        <v>45926</v>
      </c>
      <c r="B27" s="2">
        <v>205</v>
      </c>
      <c r="C27" s="6">
        <v>11</v>
      </c>
      <c r="D27" s="2">
        <f t="shared" si="0"/>
        <v>194</v>
      </c>
      <c r="E27" s="5">
        <v>191</v>
      </c>
      <c r="F27" s="2">
        <f t="shared" si="1"/>
        <v>3</v>
      </c>
      <c r="G27" s="10">
        <f t="shared" si="2"/>
        <v>0.98453608247422686</v>
      </c>
    </row>
    <row r="28" spans="1:7" x14ac:dyDescent="0.25">
      <c r="A28" s="3">
        <v>45927</v>
      </c>
      <c r="B28" s="2">
        <v>205</v>
      </c>
      <c r="C28" s="6">
        <v>12</v>
      </c>
      <c r="D28" s="2">
        <f t="shared" si="0"/>
        <v>193</v>
      </c>
      <c r="E28" s="5">
        <v>181</v>
      </c>
      <c r="F28" s="2">
        <f t="shared" si="1"/>
        <v>12</v>
      </c>
      <c r="G28" s="10">
        <f t="shared" si="2"/>
        <v>0.93782383419689119</v>
      </c>
    </row>
    <row r="29" spans="1:7" x14ac:dyDescent="0.25">
      <c r="A29" s="3">
        <v>45928</v>
      </c>
      <c r="B29" s="2">
        <v>205</v>
      </c>
      <c r="C29" s="6">
        <v>13</v>
      </c>
      <c r="D29" s="2">
        <f t="shared" si="0"/>
        <v>192</v>
      </c>
      <c r="E29" s="5">
        <v>188</v>
      </c>
      <c r="F29" s="2">
        <f t="shared" si="1"/>
        <v>4</v>
      </c>
      <c r="G29" s="10">
        <f t="shared" si="2"/>
        <v>0.97916666666666663</v>
      </c>
    </row>
    <row r="30" spans="1:7" x14ac:dyDescent="0.25">
      <c r="A30" s="3">
        <v>45929</v>
      </c>
      <c r="B30" s="2">
        <v>205</v>
      </c>
      <c r="C30" s="6">
        <v>15</v>
      </c>
      <c r="D30" s="2">
        <f t="shared" si="0"/>
        <v>190</v>
      </c>
      <c r="E30" s="5">
        <v>132</v>
      </c>
      <c r="F30" s="2">
        <f t="shared" si="1"/>
        <v>58</v>
      </c>
      <c r="G30" s="10">
        <f t="shared" si="2"/>
        <v>0.69473684210526321</v>
      </c>
    </row>
    <row r="31" spans="1:7" x14ac:dyDescent="0.25">
      <c r="A31" s="3">
        <v>45930</v>
      </c>
      <c r="B31" s="2">
        <v>205</v>
      </c>
      <c r="C31" s="6">
        <v>12</v>
      </c>
      <c r="D31" s="2">
        <f t="shared" si="0"/>
        <v>193</v>
      </c>
      <c r="E31" s="5">
        <v>152</v>
      </c>
      <c r="F31" s="2">
        <f t="shared" si="1"/>
        <v>41</v>
      </c>
      <c r="G31" s="10">
        <f t="shared" si="2"/>
        <v>0.78756476683937826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9626-B956-49C8-AEEE-57DDF203D872}">
  <dimension ref="A1:G33"/>
  <sheetViews>
    <sheetView showGridLines="0" zoomScale="85" zoomScaleNormal="85" workbookViewId="0">
      <selection activeCell="C2" sqref="C2:C32"/>
    </sheetView>
  </sheetViews>
  <sheetFormatPr defaultRowHeight="15" x14ac:dyDescent="0.25"/>
  <cols>
    <col min="1" max="17" width="15.7109375" customWidth="1"/>
  </cols>
  <sheetData>
    <row r="1" spans="1:7" ht="30" x14ac:dyDescent="0.25">
      <c r="A1" s="7" t="s">
        <v>0</v>
      </c>
      <c r="B1" s="7" t="s">
        <v>2</v>
      </c>
      <c r="C1" s="7" t="s">
        <v>4</v>
      </c>
      <c r="D1" s="7" t="s">
        <v>5</v>
      </c>
      <c r="E1" s="7" t="s">
        <v>1</v>
      </c>
      <c r="F1" s="7" t="s">
        <v>3</v>
      </c>
      <c r="G1" s="1" t="s">
        <v>6</v>
      </c>
    </row>
    <row r="2" spans="1:7" x14ac:dyDescent="0.25">
      <c r="A2" s="3">
        <v>45931</v>
      </c>
      <c r="B2" s="2">
        <v>205</v>
      </c>
      <c r="C2" s="6">
        <v>13</v>
      </c>
      <c r="D2" s="2">
        <f>B2-C2</f>
        <v>192</v>
      </c>
      <c r="E2" s="5">
        <v>152</v>
      </c>
      <c r="F2" s="2">
        <f t="shared" ref="F2:F32" si="0">D2-E2</f>
        <v>40</v>
      </c>
      <c r="G2" s="10">
        <f t="shared" ref="G2:G32" si="1">E2/D2</f>
        <v>0.79166666666666663</v>
      </c>
    </row>
    <row r="3" spans="1:7" x14ac:dyDescent="0.25">
      <c r="A3" s="3">
        <v>45932</v>
      </c>
      <c r="B3" s="2">
        <v>205</v>
      </c>
      <c r="C3" s="6">
        <v>11</v>
      </c>
      <c r="D3" s="2">
        <f t="shared" ref="D3:D32" si="2">B3-C3</f>
        <v>194</v>
      </c>
      <c r="E3" s="5">
        <v>163</v>
      </c>
      <c r="F3" s="2">
        <f t="shared" si="0"/>
        <v>31</v>
      </c>
      <c r="G3" s="10">
        <f t="shared" si="1"/>
        <v>0.84020618556701032</v>
      </c>
    </row>
    <row r="4" spans="1:7" x14ac:dyDescent="0.25">
      <c r="A4" s="3">
        <v>45933</v>
      </c>
      <c r="B4" s="2">
        <v>205</v>
      </c>
      <c r="C4" s="6">
        <v>10</v>
      </c>
      <c r="D4" s="2">
        <f t="shared" si="2"/>
        <v>195</v>
      </c>
      <c r="E4" s="5">
        <v>166</v>
      </c>
      <c r="F4" s="2">
        <f t="shared" si="0"/>
        <v>29</v>
      </c>
      <c r="G4" s="10">
        <f t="shared" si="1"/>
        <v>0.85128205128205126</v>
      </c>
    </row>
    <row r="5" spans="1:7" x14ac:dyDescent="0.25">
      <c r="A5" s="3">
        <v>45934</v>
      </c>
      <c r="B5" s="2">
        <v>205</v>
      </c>
      <c r="C5" s="6">
        <v>13</v>
      </c>
      <c r="D5" s="2">
        <f t="shared" si="2"/>
        <v>192</v>
      </c>
      <c r="E5" s="5">
        <v>168</v>
      </c>
      <c r="F5" s="2">
        <f t="shared" si="0"/>
        <v>24</v>
      </c>
      <c r="G5" s="10">
        <f t="shared" si="1"/>
        <v>0.875</v>
      </c>
    </row>
    <row r="6" spans="1:7" x14ac:dyDescent="0.25">
      <c r="A6" s="3">
        <v>45935</v>
      </c>
      <c r="B6" s="2">
        <v>205</v>
      </c>
      <c r="C6" s="6">
        <v>12</v>
      </c>
      <c r="D6" s="2">
        <f t="shared" si="2"/>
        <v>193</v>
      </c>
      <c r="E6" s="5">
        <v>196</v>
      </c>
      <c r="F6" s="2">
        <f t="shared" si="0"/>
        <v>-3</v>
      </c>
      <c r="G6" s="10">
        <f t="shared" si="1"/>
        <v>1.0155440414507773</v>
      </c>
    </row>
    <row r="7" spans="1:7" x14ac:dyDescent="0.25">
      <c r="A7" s="3">
        <v>45936</v>
      </c>
      <c r="B7" s="2">
        <v>205</v>
      </c>
      <c r="C7" s="6">
        <v>13</v>
      </c>
      <c r="D7" s="2">
        <f t="shared" si="2"/>
        <v>192</v>
      </c>
      <c r="E7" s="5">
        <v>183</v>
      </c>
      <c r="F7" s="2">
        <f t="shared" si="0"/>
        <v>9</v>
      </c>
      <c r="G7" s="10">
        <f t="shared" si="1"/>
        <v>0.953125</v>
      </c>
    </row>
    <row r="8" spans="1:7" x14ac:dyDescent="0.25">
      <c r="A8" s="3">
        <v>45937</v>
      </c>
      <c r="B8" s="2">
        <v>205</v>
      </c>
      <c r="C8" s="6">
        <v>13</v>
      </c>
      <c r="D8" s="2">
        <f t="shared" si="2"/>
        <v>192</v>
      </c>
      <c r="E8" s="5">
        <v>179</v>
      </c>
      <c r="F8" s="2">
        <f t="shared" si="0"/>
        <v>13</v>
      </c>
      <c r="G8" s="10">
        <f t="shared" si="1"/>
        <v>0.93229166666666663</v>
      </c>
    </row>
    <row r="9" spans="1:7" x14ac:dyDescent="0.25">
      <c r="A9" s="3">
        <v>45938</v>
      </c>
      <c r="B9" s="2">
        <v>205</v>
      </c>
      <c r="C9" s="6">
        <v>11</v>
      </c>
      <c r="D9" s="2">
        <f t="shared" si="2"/>
        <v>194</v>
      </c>
      <c r="E9" s="5">
        <v>188</v>
      </c>
      <c r="F9" s="2">
        <f t="shared" si="0"/>
        <v>6</v>
      </c>
      <c r="G9" s="10">
        <f t="shared" si="1"/>
        <v>0.96907216494845361</v>
      </c>
    </row>
    <row r="10" spans="1:7" x14ac:dyDescent="0.25">
      <c r="A10" s="3">
        <v>45939</v>
      </c>
      <c r="B10" s="2">
        <v>205</v>
      </c>
      <c r="C10" s="6">
        <v>12</v>
      </c>
      <c r="D10" s="2">
        <f t="shared" si="2"/>
        <v>193</v>
      </c>
      <c r="E10" s="5">
        <v>169</v>
      </c>
      <c r="F10" s="2">
        <f t="shared" si="0"/>
        <v>24</v>
      </c>
      <c r="G10" s="10">
        <f t="shared" si="1"/>
        <v>0.87564766839378239</v>
      </c>
    </row>
    <row r="11" spans="1:7" x14ac:dyDescent="0.25">
      <c r="A11" s="3">
        <v>45940</v>
      </c>
      <c r="B11" s="2">
        <v>205</v>
      </c>
      <c r="C11" s="6">
        <v>13</v>
      </c>
      <c r="D11" s="2">
        <f t="shared" si="2"/>
        <v>192</v>
      </c>
      <c r="E11" s="5">
        <v>192</v>
      </c>
      <c r="F11" s="2">
        <f t="shared" si="0"/>
        <v>0</v>
      </c>
      <c r="G11" s="10">
        <f t="shared" si="1"/>
        <v>1</v>
      </c>
    </row>
    <row r="12" spans="1:7" x14ac:dyDescent="0.25">
      <c r="A12" s="3">
        <v>45941</v>
      </c>
      <c r="B12" s="2">
        <v>205</v>
      </c>
      <c r="C12" s="6">
        <v>13</v>
      </c>
      <c r="D12" s="2">
        <f t="shared" si="2"/>
        <v>192</v>
      </c>
      <c r="E12" s="5">
        <v>187</v>
      </c>
      <c r="F12" s="2">
        <f t="shared" si="0"/>
        <v>5</v>
      </c>
      <c r="G12" s="10">
        <f t="shared" si="1"/>
        <v>0.97395833333333337</v>
      </c>
    </row>
    <row r="13" spans="1:7" x14ac:dyDescent="0.25">
      <c r="A13" s="3">
        <v>45942</v>
      </c>
      <c r="B13" s="2">
        <v>205</v>
      </c>
      <c r="C13" s="6">
        <v>12</v>
      </c>
      <c r="D13" s="2">
        <f t="shared" si="2"/>
        <v>193</v>
      </c>
      <c r="E13" s="5">
        <v>185</v>
      </c>
      <c r="F13" s="2">
        <f>D13-E13</f>
        <v>8</v>
      </c>
      <c r="G13" s="10">
        <f t="shared" si="1"/>
        <v>0.95854922279792742</v>
      </c>
    </row>
    <row r="14" spans="1:7" x14ac:dyDescent="0.25">
      <c r="A14" s="3">
        <v>45943</v>
      </c>
      <c r="B14" s="2">
        <v>205</v>
      </c>
      <c r="C14" s="6">
        <v>14</v>
      </c>
      <c r="D14" s="2">
        <f t="shared" si="2"/>
        <v>191</v>
      </c>
      <c r="E14" s="5">
        <v>184</v>
      </c>
      <c r="F14" s="2">
        <f t="shared" si="0"/>
        <v>7</v>
      </c>
      <c r="G14" s="10">
        <f t="shared" si="1"/>
        <v>0.96335078534031415</v>
      </c>
    </row>
    <row r="15" spans="1:7" x14ac:dyDescent="0.25">
      <c r="A15" s="3">
        <v>45944</v>
      </c>
      <c r="B15" s="2">
        <v>205</v>
      </c>
      <c r="C15" s="6">
        <v>12</v>
      </c>
      <c r="D15" s="2">
        <f t="shared" si="2"/>
        <v>193</v>
      </c>
      <c r="E15" s="5">
        <v>182</v>
      </c>
      <c r="F15" s="2">
        <f t="shared" si="0"/>
        <v>11</v>
      </c>
      <c r="G15" s="10">
        <f t="shared" si="1"/>
        <v>0.94300518134715028</v>
      </c>
    </row>
    <row r="16" spans="1:7" x14ac:dyDescent="0.25">
      <c r="A16" s="3">
        <v>45945</v>
      </c>
      <c r="B16" s="2">
        <v>205</v>
      </c>
      <c r="C16" s="6">
        <v>12</v>
      </c>
      <c r="D16" s="2">
        <f t="shared" si="2"/>
        <v>193</v>
      </c>
      <c r="E16" s="5">
        <v>187</v>
      </c>
      <c r="F16" s="2">
        <f t="shared" si="0"/>
        <v>6</v>
      </c>
      <c r="G16" s="10">
        <f t="shared" si="1"/>
        <v>0.9689119170984456</v>
      </c>
    </row>
    <row r="17" spans="1:7" x14ac:dyDescent="0.25">
      <c r="A17" s="3">
        <v>45946</v>
      </c>
      <c r="B17" s="2">
        <v>205</v>
      </c>
      <c r="C17" s="6">
        <v>11</v>
      </c>
      <c r="D17" s="2">
        <f t="shared" si="2"/>
        <v>194</v>
      </c>
      <c r="E17" s="5">
        <v>185</v>
      </c>
      <c r="F17" s="2">
        <f t="shared" si="0"/>
        <v>9</v>
      </c>
      <c r="G17" s="10">
        <f t="shared" si="1"/>
        <v>0.95360824742268047</v>
      </c>
    </row>
    <row r="18" spans="1:7" x14ac:dyDescent="0.25">
      <c r="A18" s="3">
        <v>45947</v>
      </c>
      <c r="B18" s="2">
        <v>205</v>
      </c>
      <c r="C18" s="6">
        <v>10</v>
      </c>
      <c r="D18" s="2">
        <f t="shared" si="2"/>
        <v>195</v>
      </c>
      <c r="E18" s="5">
        <v>196</v>
      </c>
      <c r="F18" s="2">
        <f t="shared" si="0"/>
        <v>-1</v>
      </c>
      <c r="G18" s="10">
        <f t="shared" si="1"/>
        <v>1.0051282051282051</v>
      </c>
    </row>
    <row r="19" spans="1:7" x14ac:dyDescent="0.25">
      <c r="A19" s="3">
        <v>45948</v>
      </c>
      <c r="B19" s="2">
        <v>205</v>
      </c>
      <c r="C19" s="6">
        <v>3</v>
      </c>
      <c r="D19" s="2">
        <f t="shared" si="2"/>
        <v>202</v>
      </c>
      <c r="E19" s="5">
        <v>188</v>
      </c>
      <c r="F19" s="2">
        <f t="shared" si="0"/>
        <v>14</v>
      </c>
      <c r="G19" s="10">
        <f t="shared" si="1"/>
        <v>0.93069306930693074</v>
      </c>
    </row>
    <row r="20" spans="1:7" x14ac:dyDescent="0.25">
      <c r="A20" s="3">
        <v>45949</v>
      </c>
      <c r="B20" s="2">
        <v>205</v>
      </c>
      <c r="C20" s="6">
        <v>16</v>
      </c>
      <c r="D20" s="2">
        <f t="shared" si="2"/>
        <v>189</v>
      </c>
      <c r="E20" s="5">
        <v>164</v>
      </c>
      <c r="F20" s="2">
        <f t="shared" si="0"/>
        <v>25</v>
      </c>
      <c r="G20" s="10">
        <f t="shared" si="1"/>
        <v>0.86772486772486768</v>
      </c>
    </row>
    <row r="21" spans="1:7" x14ac:dyDescent="0.25">
      <c r="A21" s="3">
        <v>45950</v>
      </c>
      <c r="B21" s="2">
        <v>205</v>
      </c>
      <c r="C21" s="6">
        <v>20</v>
      </c>
      <c r="D21" s="2">
        <f t="shared" si="2"/>
        <v>185</v>
      </c>
      <c r="E21" s="5">
        <v>175</v>
      </c>
      <c r="F21" s="2">
        <f t="shared" si="0"/>
        <v>10</v>
      </c>
      <c r="G21" s="10">
        <f t="shared" si="1"/>
        <v>0.94594594594594594</v>
      </c>
    </row>
    <row r="22" spans="1:7" x14ac:dyDescent="0.25">
      <c r="A22" s="3">
        <v>45951</v>
      </c>
      <c r="B22" s="2">
        <v>205</v>
      </c>
      <c r="C22" s="6">
        <v>19</v>
      </c>
      <c r="D22" s="2">
        <f t="shared" si="2"/>
        <v>186</v>
      </c>
      <c r="E22" s="5">
        <v>189</v>
      </c>
      <c r="F22" s="2">
        <f t="shared" si="0"/>
        <v>-3</v>
      </c>
      <c r="G22" s="10">
        <f t="shared" si="1"/>
        <v>1.0161290322580645</v>
      </c>
    </row>
    <row r="23" spans="1:7" x14ac:dyDescent="0.25">
      <c r="A23" s="3">
        <v>45952</v>
      </c>
      <c r="B23" s="2">
        <v>205</v>
      </c>
      <c r="C23" s="6">
        <v>19</v>
      </c>
      <c r="D23" s="2">
        <f t="shared" si="2"/>
        <v>186</v>
      </c>
      <c r="E23" s="5">
        <v>179</v>
      </c>
      <c r="F23" s="2">
        <f t="shared" si="0"/>
        <v>7</v>
      </c>
      <c r="G23" s="10">
        <f t="shared" si="1"/>
        <v>0.9623655913978495</v>
      </c>
    </row>
    <row r="24" spans="1:7" x14ac:dyDescent="0.25">
      <c r="A24" s="3">
        <v>45953</v>
      </c>
      <c r="B24" s="2">
        <v>205</v>
      </c>
      <c r="C24" s="6">
        <v>2</v>
      </c>
      <c r="D24" s="2">
        <f t="shared" si="2"/>
        <v>203</v>
      </c>
      <c r="E24" s="5">
        <v>193</v>
      </c>
      <c r="F24" s="2">
        <f t="shared" si="0"/>
        <v>10</v>
      </c>
      <c r="G24" s="10">
        <f t="shared" si="1"/>
        <v>0.95073891625615758</v>
      </c>
    </row>
    <row r="25" spans="1:7" x14ac:dyDescent="0.25">
      <c r="A25" s="3">
        <v>45954</v>
      </c>
      <c r="B25" s="2">
        <v>205</v>
      </c>
      <c r="C25" s="6">
        <v>2</v>
      </c>
      <c r="D25" s="2">
        <f t="shared" si="2"/>
        <v>203</v>
      </c>
      <c r="E25" s="5">
        <v>195</v>
      </c>
      <c r="F25" s="2">
        <f t="shared" si="0"/>
        <v>8</v>
      </c>
      <c r="G25" s="10">
        <f t="shared" si="1"/>
        <v>0.96059113300492616</v>
      </c>
    </row>
    <row r="26" spans="1:7" x14ac:dyDescent="0.25">
      <c r="A26" s="3">
        <v>45955</v>
      </c>
      <c r="B26" s="2">
        <v>205</v>
      </c>
      <c r="C26" s="6">
        <v>2</v>
      </c>
      <c r="D26" s="2">
        <f t="shared" si="2"/>
        <v>203</v>
      </c>
      <c r="E26" s="5">
        <v>197</v>
      </c>
      <c r="F26" s="2">
        <f t="shared" si="0"/>
        <v>6</v>
      </c>
      <c r="G26" s="10">
        <f t="shared" si="1"/>
        <v>0.97044334975369462</v>
      </c>
    </row>
    <row r="27" spans="1:7" x14ac:dyDescent="0.25">
      <c r="A27" s="3">
        <v>45956</v>
      </c>
      <c r="B27" s="2">
        <v>205</v>
      </c>
      <c r="C27" s="6">
        <v>3</v>
      </c>
      <c r="D27" s="2">
        <f t="shared" si="2"/>
        <v>202</v>
      </c>
      <c r="E27" s="5">
        <v>195</v>
      </c>
      <c r="F27" s="2">
        <f t="shared" si="0"/>
        <v>7</v>
      </c>
      <c r="G27" s="10">
        <f t="shared" si="1"/>
        <v>0.96534653465346532</v>
      </c>
    </row>
    <row r="28" spans="1:7" x14ac:dyDescent="0.25">
      <c r="A28" s="3">
        <v>45957</v>
      </c>
      <c r="B28" s="2">
        <v>205</v>
      </c>
      <c r="C28" s="6">
        <v>4</v>
      </c>
      <c r="D28" s="2">
        <f t="shared" si="2"/>
        <v>201</v>
      </c>
      <c r="E28" s="5">
        <v>198</v>
      </c>
      <c r="F28" s="2">
        <f t="shared" si="0"/>
        <v>3</v>
      </c>
      <c r="G28" s="10">
        <f t="shared" si="1"/>
        <v>0.9850746268656716</v>
      </c>
    </row>
    <row r="29" spans="1:7" x14ac:dyDescent="0.25">
      <c r="A29" s="3">
        <v>45958</v>
      </c>
      <c r="B29" s="2">
        <v>205</v>
      </c>
      <c r="C29" s="6">
        <v>22</v>
      </c>
      <c r="D29" s="2">
        <f t="shared" si="2"/>
        <v>183</v>
      </c>
      <c r="E29" s="5">
        <v>177</v>
      </c>
      <c r="F29" s="2">
        <f t="shared" si="0"/>
        <v>6</v>
      </c>
      <c r="G29" s="10">
        <f t="shared" si="1"/>
        <v>0.96721311475409832</v>
      </c>
    </row>
    <row r="30" spans="1:7" x14ac:dyDescent="0.25">
      <c r="A30" s="3">
        <v>45959</v>
      </c>
      <c r="B30" s="2">
        <v>205</v>
      </c>
      <c r="C30" s="6">
        <v>20</v>
      </c>
      <c r="D30" s="2">
        <f t="shared" si="2"/>
        <v>185</v>
      </c>
      <c r="E30" s="5">
        <v>180</v>
      </c>
      <c r="F30" s="2">
        <f t="shared" si="0"/>
        <v>5</v>
      </c>
      <c r="G30" s="10">
        <f t="shared" si="1"/>
        <v>0.97297297297297303</v>
      </c>
    </row>
    <row r="31" spans="1:7" x14ac:dyDescent="0.25">
      <c r="A31" s="3">
        <v>45960</v>
      </c>
      <c r="B31" s="2">
        <v>205</v>
      </c>
      <c r="C31" s="6">
        <v>21</v>
      </c>
      <c r="D31" s="2">
        <f t="shared" si="2"/>
        <v>184</v>
      </c>
      <c r="E31" s="5">
        <v>177</v>
      </c>
      <c r="F31" s="2">
        <f t="shared" si="0"/>
        <v>7</v>
      </c>
      <c r="G31" s="10">
        <f t="shared" si="1"/>
        <v>0.96195652173913049</v>
      </c>
    </row>
    <row r="32" spans="1:7" x14ac:dyDescent="0.25">
      <c r="A32" s="3">
        <v>45961</v>
      </c>
      <c r="B32" s="2">
        <v>205</v>
      </c>
      <c r="C32" s="6">
        <v>4</v>
      </c>
      <c r="D32" s="2">
        <f t="shared" si="2"/>
        <v>201</v>
      </c>
      <c r="E32" s="5">
        <v>196</v>
      </c>
      <c r="F32" s="2">
        <f t="shared" si="0"/>
        <v>5</v>
      </c>
      <c r="G32" s="10">
        <f t="shared" si="1"/>
        <v>0.97512437810945274</v>
      </c>
    </row>
    <row r="33" spans="3:3" x14ac:dyDescent="0.25">
      <c r="C33" s="11">
        <f>SUM(C2:C32)</f>
        <v>362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FB65-853E-4946-8B1D-C978FDF1D7A3}">
  <dimension ref="A1:G32"/>
  <sheetViews>
    <sheetView showGridLines="0" zoomScale="85" zoomScaleNormal="85" workbookViewId="0">
      <selection activeCell="H38" sqref="H38"/>
    </sheetView>
  </sheetViews>
  <sheetFormatPr defaultRowHeight="15" x14ac:dyDescent="0.25"/>
  <cols>
    <col min="1" max="16" width="15.7109375" customWidth="1"/>
  </cols>
  <sheetData>
    <row r="1" spans="1:7" ht="30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7" x14ac:dyDescent="0.25">
      <c r="A2" s="3">
        <v>45962</v>
      </c>
      <c r="B2" s="2">
        <v>205</v>
      </c>
      <c r="C2" s="6">
        <v>5</v>
      </c>
      <c r="D2" s="2">
        <f>B2-C2</f>
        <v>200</v>
      </c>
      <c r="E2" s="5">
        <v>192</v>
      </c>
      <c r="F2" s="2">
        <f>D2-E2</f>
        <v>8</v>
      </c>
      <c r="G2" s="10">
        <f>E2/D2</f>
        <v>0.96</v>
      </c>
    </row>
    <row r="3" spans="1:7" x14ac:dyDescent="0.25">
      <c r="A3" s="3">
        <v>45963</v>
      </c>
      <c r="B3" s="2">
        <v>205</v>
      </c>
      <c r="C3" s="6">
        <v>7</v>
      </c>
      <c r="D3" s="2">
        <f t="shared" ref="D3:D31" si="0">B3-C3</f>
        <v>198</v>
      </c>
      <c r="E3" s="5">
        <v>191</v>
      </c>
      <c r="F3" s="2">
        <f t="shared" ref="F3:F31" si="1">D3-E3</f>
        <v>7</v>
      </c>
      <c r="G3" s="10">
        <f t="shared" ref="G3:G31" si="2">E3/D3</f>
        <v>0.96464646464646464</v>
      </c>
    </row>
    <row r="4" spans="1:7" x14ac:dyDescent="0.25">
      <c r="A4" s="3">
        <v>45964</v>
      </c>
      <c r="B4" s="2">
        <v>205</v>
      </c>
      <c r="C4" s="6">
        <v>13</v>
      </c>
      <c r="D4" s="2">
        <f t="shared" si="0"/>
        <v>192</v>
      </c>
      <c r="E4" s="5">
        <v>168</v>
      </c>
      <c r="F4" s="2">
        <f t="shared" si="1"/>
        <v>24</v>
      </c>
      <c r="G4" s="10">
        <f t="shared" si="2"/>
        <v>0.875</v>
      </c>
    </row>
    <row r="5" spans="1:7" x14ac:dyDescent="0.25">
      <c r="A5" s="3">
        <v>45965</v>
      </c>
      <c r="B5" s="2">
        <v>205</v>
      </c>
      <c r="C5" s="6">
        <v>13</v>
      </c>
      <c r="D5" s="2">
        <f t="shared" si="0"/>
        <v>192</v>
      </c>
      <c r="E5" s="5">
        <v>180</v>
      </c>
      <c r="F5" s="2">
        <f t="shared" si="1"/>
        <v>12</v>
      </c>
      <c r="G5" s="10">
        <f t="shared" si="2"/>
        <v>0.9375</v>
      </c>
    </row>
    <row r="6" spans="1:7" x14ac:dyDescent="0.25">
      <c r="A6" s="3">
        <v>45966</v>
      </c>
      <c r="B6" s="2">
        <v>205</v>
      </c>
      <c r="C6" s="6">
        <v>13</v>
      </c>
      <c r="D6" s="2">
        <f t="shared" si="0"/>
        <v>192</v>
      </c>
      <c r="E6" s="5">
        <v>163</v>
      </c>
      <c r="F6" s="2">
        <f t="shared" si="1"/>
        <v>29</v>
      </c>
      <c r="G6" s="10">
        <f t="shared" si="2"/>
        <v>0.84895833333333337</v>
      </c>
    </row>
    <row r="7" spans="1:7" x14ac:dyDescent="0.25">
      <c r="A7" s="3">
        <v>45967</v>
      </c>
      <c r="B7" s="2">
        <v>205</v>
      </c>
      <c r="C7" s="6">
        <v>11</v>
      </c>
      <c r="D7" s="2">
        <f t="shared" si="0"/>
        <v>194</v>
      </c>
      <c r="E7" s="5">
        <v>186</v>
      </c>
      <c r="F7" s="2">
        <f t="shared" si="1"/>
        <v>8</v>
      </c>
      <c r="G7" s="10">
        <f t="shared" si="2"/>
        <v>0.95876288659793818</v>
      </c>
    </row>
    <row r="8" spans="1:7" x14ac:dyDescent="0.25">
      <c r="A8" s="3">
        <v>45968</v>
      </c>
      <c r="B8" s="2">
        <v>205</v>
      </c>
      <c r="C8" s="6">
        <v>2</v>
      </c>
      <c r="D8" s="2">
        <f t="shared" si="0"/>
        <v>203</v>
      </c>
      <c r="E8" s="5">
        <v>203</v>
      </c>
      <c r="F8" s="2">
        <f t="shared" si="1"/>
        <v>0</v>
      </c>
      <c r="G8" s="10">
        <f t="shared" si="2"/>
        <v>1</v>
      </c>
    </row>
    <row r="9" spans="1:7" x14ac:dyDescent="0.25">
      <c r="A9" s="3">
        <v>45969</v>
      </c>
      <c r="B9" s="2">
        <v>205</v>
      </c>
      <c r="C9" s="6">
        <v>1</v>
      </c>
      <c r="D9" s="2">
        <f t="shared" si="0"/>
        <v>204</v>
      </c>
      <c r="E9" s="5">
        <v>198</v>
      </c>
      <c r="F9" s="2">
        <f t="shared" si="1"/>
        <v>6</v>
      </c>
      <c r="G9" s="10">
        <f t="shared" si="2"/>
        <v>0.97058823529411764</v>
      </c>
    </row>
    <row r="10" spans="1:7" x14ac:dyDescent="0.25">
      <c r="A10" s="3">
        <v>45970</v>
      </c>
      <c r="B10" s="2">
        <v>205</v>
      </c>
      <c r="C10" s="6">
        <v>1</v>
      </c>
      <c r="D10" s="2">
        <f t="shared" si="0"/>
        <v>204</v>
      </c>
      <c r="E10" s="5">
        <v>201</v>
      </c>
      <c r="F10" s="2">
        <f t="shared" si="1"/>
        <v>3</v>
      </c>
      <c r="G10" s="10">
        <f t="shared" si="2"/>
        <v>0.98529411764705888</v>
      </c>
    </row>
    <row r="11" spans="1:7" x14ac:dyDescent="0.25">
      <c r="A11" s="3">
        <v>45971</v>
      </c>
      <c r="B11" s="2">
        <v>205</v>
      </c>
      <c r="C11" s="6">
        <v>4</v>
      </c>
      <c r="D11" s="2">
        <f t="shared" si="0"/>
        <v>201</v>
      </c>
      <c r="E11" s="5">
        <v>195</v>
      </c>
      <c r="F11" s="2">
        <f t="shared" si="1"/>
        <v>6</v>
      </c>
      <c r="G11" s="10">
        <f t="shared" si="2"/>
        <v>0.97014925373134331</v>
      </c>
    </row>
    <row r="12" spans="1:7" x14ac:dyDescent="0.25">
      <c r="A12" s="3">
        <v>45972</v>
      </c>
      <c r="B12" s="2">
        <v>205</v>
      </c>
      <c r="C12" s="6">
        <v>15</v>
      </c>
      <c r="D12" s="2">
        <f t="shared" si="0"/>
        <v>190</v>
      </c>
      <c r="E12" s="5">
        <v>187</v>
      </c>
      <c r="F12" s="2">
        <f t="shared" si="1"/>
        <v>3</v>
      </c>
      <c r="G12" s="10">
        <f t="shared" si="2"/>
        <v>0.98421052631578942</v>
      </c>
    </row>
    <row r="13" spans="1:7" x14ac:dyDescent="0.25">
      <c r="A13" s="3">
        <v>45973</v>
      </c>
      <c r="B13" s="2">
        <v>205</v>
      </c>
      <c r="C13" s="6">
        <v>18</v>
      </c>
      <c r="D13" s="2">
        <f t="shared" si="0"/>
        <v>187</v>
      </c>
      <c r="E13" s="5">
        <v>174</v>
      </c>
      <c r="F13" s="2">
        <f t="shared" si="1"/>
        <v>13</v>
      </c>
      <c r="G13" s="10">
        <f t="shared" si="2"/>
        <v>0.93048128342245995</v>
      </c>
    </row>
    <row r="14" spans="1:7" x14ac:dyDescent="0.25">
      <c r="A14" s="3">
        <v>45974</v>
      </c>
      <c r="B14" s="2">
        <v>205</v>
      </c>
      <c r="C14" s="6">
        <v>13</v>
      </c>
      <c r="D14" s="2">
        <f t="shared" si="0"/>
        <v>192</v>
      </c>
      <c r="E14" s="5">
        <v>187</v>
      </c>
      <c r="F14" s="2">
        <f t="shared" si="1"/>
        <v>5</v>
      </c>
      <c r="G14" s="10">
        <f t="shared" si="2"/>
        <v>0.97395833333333337</v>
      </c>
    </row>
    <row r="15" spans="1:7" x14ac:dyDescent="0.25">
      <c r="A15" s="3">
        <v>45975</v>
      </c>
      <c r="B15" s="2">
        <v>205</v>
      </c>
      <c r="C15" s="6">
        <v>2</v>
      </c>
      <c r="D15" s="2">
        <f t="shared" si="0"/>
        <v>203</v>
      </c>
      <c r="E15" s="5">
        <v>194</v>
      </c>
      <c r="F15" s="2">
        <f t="shared" si="1"/>
        <v>9</v>
      </c>
      <c r="G15" s="10">
        <f t="shared" si="2"/>
        <v>0.95566502463054193</v>
      </c>
    </row>
    <row r="16" spans="1:7" x14ac:dyDescent="0.25">
      <c r="A16" s="3">
        <v>45976</v>
      </c>
      <c r="B16" s="2">
        <v>205</v>
      </c>
      <c r="C16" s="6">
        <v>3</v>
      </c>
      <c r="D16" s="2">
        <f t="shared" si="0"/>
        <v>202</v>
      </c>
      <c r="E16" s="5">
        <v>202</v>
      </c>
      <c r="F16" s="2">
        <f t="shared" si="1"/>
        <v>0</v>
      </c>
      <c r="G16" s="10">
        <f t="shared" si="2"/>
        <v>1</v>
      </c>
    </row>
    <row r="17" spans="1:7" x14ac:dyDescent="0.25">
      <c r="A17" s="3">
        <v>45977</v>
      </c>
      <c r="B17" s="2">
        <v>205</v>
      </c>
      <c r="C17" s="6">
        <v>2</v>
      </c>
      <c r="D17" s="2">
        <f t="shared" si="0"/>
        <v>203</v>
      </c>
      <c r="E17" s="5">
        <v>205</v>
      </c>
      <c r="F17" s="2">
        <f t="shared" si="1"/>
        <v>-2</v>
      </c>
      <c r="G17" s="10">
        <f t="shared" si="2"/>
        <v>1.0098522167487685</v>
      </c>
    </row>
    <row r="18" spans="1:7" x14ac:dyDescent="0.25">
      <c r="A18" s="3">
        <v>45978</v>
      </c>
      <c r="B18" s="2">
        <v>205</v>
      </c>
      <c r="C18" s="6">
        <v>4</v>
      </c>
      <c r="D18" s="2">
        <f t="shared" si="0"/>
        <v>201</v>
      </c>
      <c r="E18" s="5">
        <v>192</v>
      </c>
      <c r="F18" s="2">
        <f t="shared" si="1"/>
        <v>9</v>
      </c>
      <c r="G18" s="10">
        <f t="shared" si="2"/>
        <v>0.95522388059701491</v>
      </c>
    </row>
    <row r="19" spans="1:7" x14ac:dyDescent="0.25">
      <c r="A19" s="3">
        <v>45979</v>
      </c>
      <c r="B19" s="2">
        <v>205</v>
      </c>
      <c r="C19" s="6">
        <v>6</v>
      </c>
      <c r="D19" s="2">
        <f t="shared" si="0"/>
        <v>199</v>
      </c>
      <c r="E19" s="5">
        <v>187</v>
      </c>
      <c r="F19" s="2">
        <f t="shared" si="1"/>
        <v>12</v>
      </c>
      <c r="G19" s="10">
        <f t="shared" si="2"/>
        <v>0.93969849246231152</v>
      </c>
    </row>
    <row r="20" spans="1:7" x14ac:dyDescent="0.25">
      <c r="A20" s="3">
        <v>45980</v>
      </c>
      <c r="B20" s="2">
        <v>205</v>
      </c>
      <c r="C20" s="6">
        <v>10</v>
      </c>
      <c r="D20" s="2">
        <f t="shared" si="0"/>
        <v>195</v>
      </c>
      <c r="E20" s="5">
        <v>197</v>
      </c>
      <c r="F20" s="2">
        <f t="shared" si="1"/>
        <v>-2</v>
      </c>
      <c r="G20" s="10">
        <f t="shared" si="2"/>
        <v>1.0102564102564102</v>
      </c>
    </row>
    <row r="21" spans="1:7" x14ac:dyDescent="0.25">
      <c r="A21" s="3">
        <v>45981</v>
      </c>
      <c r="B21" s="2">
        <v>205</v>
      </c>
      <c r="C21" s="6">
        <v>4</v>
      </c>
      <c r="D21" s="2">
        <f t="shared" si="0"/>
        <v>201</v>
      </c>
      <c r="E21" s="5">
        <v>189</v>
      </c>
      <c r="F21" s="2">
        <f t="shared" si="1"/>
        <v>12</v>
      </c>
      <c r="G21" s="10">
        <f t="shared" si="2"/>
        <v>0.94029850746268662</v>
      </c>
    </row>
    <row r="22" spans="1:7" x14ac:dyDescent="0.25">
      <c r="A22" s="3">
        <v>45982</v>
      </c>
      <c r="B22" s="2">
        <v>205</v>
      </c>
      <c r="C22" s="6">
        <v>2</v>
      </c>
      <c r="D22" s="2">
        <f t="shared" si="0"/>
        <v>203</v>
      </c>
      <c r="E22" s="5">
        <v>201</v>
      </c>
      <c r="F22" s="2">
        <f t="shared" si="1"/>
        <v>2</v>
      </c>
      <c r="G22" s="10">
        <f t="shared" si="2"/>
        <v>0.99014778325123154</v>
      </c>
    </row>
    <row r="23" spans="1:7" x14ac:dyDescent="0.25">
      <c r="A23" s="3">
        <v>45983</v>
      </c>
      <c r="B23" s="2">
        <v>205</v>
      </c>
      <c r="C23" s="6">
        <v>3</v>
      </c>
      <c r="D23" s="2">
        <f t="shared" si="0"/>
        <v>202</v>
      </c>
      <c r="E23" s="5">
        <v>186</v>
      </c>
      <c r="F23" s="2">
        <f t="shared" si="1"/>
        <v>16</v>
      </c>
      <c r="G23" s="10">
        <f t="shared" si="2"/>
        <v>0.92079207920792083</v>
      </c>
    </row>
    <row r="24" spans="1:7" x14ac:dyDescent="0.25">
      <c r="A24" s="3">
        <v>45984</v>
      </c>
      <c r="B24" s="2">
        <v>205</v>
      </c>
      <c r="C24" s="6">
        <v>9</v>
      </c>
      <c r="D24" s="2">
        <f t="shared" si="0"/>
        <v>196</v>
      </c>
      <c r="E24" s="5">
        <v>191</v>
      </c>
      <c r="F24" s="2">
        <f t="shared" si="1"/>
        <v>5</v>
      </c>
      <c r="G24" s="10">
        <f t="shared" si="2"/>
        <v>0.97448979591836737</v>
      </c>
    </row>
    <row r="25" spans="1:7" x14ac:dyDescent="0.25">
      <c r="A25" s="3">
        <v>45985</v>
      </c>
      <c r="B25" s="2">
        <v>205</v>
      </c>
      <c r="C25" s="6">
        <v>9</v>
      </c>
      <c r="D25" s="2">
        <f t="shared" si="0"/>
        <v>196</v>
      </c>
      <c r="E25" s="5">
        <v>187</v>
      </c>
      <c r="F25" s="2">
        <f t="shared" si="1"/>
        <v>9</v>
      </c>
      <c r="G25" s="10">
        <f t="shared" si="2"/>
        <v>0.95408163265306123</v>
      </c>
    </row>
    <row r="26" spans="1:7" x14ac:dyDescent="0.25">
      <c r="A26" s="3">
        <v>45986</v>
      </c>
      <c r="B26" s="2">
        <v>205</v>
      </c>
      <c r="C26" s="6">
        <v>8</v>
      </c>
      <c r="D26" s="2">
        <f t="shared" si="0"/>
        <v>197</v>
      </c>
      <c r="E26" s="5">
        <v>188</v>
      </c>
      <c r="F26" s="2">
        <f t="shared" si="1"/>
        <v>9</v>
      </c>
      <c r="G26" s="10">
        <f t="shared" si="2"/>
        <v>0.95431472081218272</v>
      </c>
    </row>
    <row r="27" spans="1:7" x14ac:dyDescent="0.25">
      <c r="A27" s="3">
        <v>45987</v>
      </c>
      <c r="B27" s="2">
        <v>205</v>
      </c>
      <c r="C27" s="6">
        <v>7</v>
      </c>
      <c r="D27" s="2">
        <f t="shared" si="0"/>
        <v>198</v>
      </c>
      <c r="E27" s="5">
        <v>198</v>
      </c>
      <c r="F27" s="2">
        <f t="shared" si="1"/>
        <v>0</v>
      </c>
      <c r="G27" s="10">
        <f t="shared" si="2"/>
        <v>1</v>
      </c>
    </row>
    <row r="28" spans="1:7" x14ac:dyDescent="0.25">
      <c r="A28" s="3">
        <v>45988</v>
      </c>
      <c r="B28" s="2">
        <v>205</v>
      </c>
      <c r="C28" s="6">
        <v>2</v>
      </c>
      <c r="D28" s="2">
        <f t="shared" si="0"/>
        <v>203</v>
      </c>
      <c r="E28" s="5">
        <v>199</v>
      </c>
      <c r="F28" s="2">
        <f t="shared" si="1"/>
        <v>4</v>
      </c>
      <c r="G28" s="10">
        <f t="shared" si="2"/>
        <v>0.98029556650246308</v>
      </c>
    </row>
    <row r="29" spans="1:7" x14ac:dyDescent="0.25">
      <c r="A29" s="3">
        <v>45989</v>
      </c>
      <c r="B29" s="2">
        <v>205</v>
      </c>
      <c r="C29" s="6">
        <v>1</v>
      </c>
      <c r="D29" s="2">
        <f t="shared" si="0"/>
        <v>204</v>
      </c>
      <c r="E29" s="5">
        <v>192</v>
      </c>
      <c r="F29" s="2">
        <f t="shared" si="1"/>
        <v>12</v>
      </c>
      <c r="G29" s="10">
        <f t="shared" si="2"/>
        <v>0.94117647058823528</v>
      </c>
    </row>
    <row r="30" spans="1:7" x14ac:dyDescent="0.25">
      <c r="A30" s="3">
        <v>45990</v>
      </c>
      <c r="B30" s="2">
        <v>205</v>
      </c>
      <c r="C30" s="6">
        <v>1</v>
      </c>
      <c r="D30" s="2">
        <f t="shared" si="0"/>
        <v>204</v>
      </c>
      <c r="E30" s="5">
        <v>193</v>
      </c>
      <c r="F30" s="2">
        <f t="shared" si="1"/>
        <v>11</v>
      </c>
      <c r="G30" s="10">
        <f t="shared" si="2"/>
        <v>0.94607843137254899</v>
      </c>
    </row>
    <row r="31" spans="1:7" x14ac:dyDescent="0.25">
      <c r="A31" s="3">
        <v>45991</v>
      </c>
      <c r="B31" s="2">
        <v>205</v>
      </c>
      <c r="C31" s="6">
        <v>1</v>
      </c>
      <c r="D31" s="2">
        <f t="shared" si="0"/>
        <v>204</v>
      </c>
      <c r="E31" s="5">
        <v>200</v>
      </c>
      <c r="F31" s="2">
        <f t="shared" si="1"/>
        <v>4</v>
      </c>
      <c r="G31" s="10">
        <f t="shared" si="2"/>
        <v>0.98039215686274506</v>
      </c>
    </row>
    <row r="32" spans="1:7" x14ac:dyDescent="0.25">
      <c r="C32" s="11">
        <f>SUM(C2:C31)</f>
        <v>190</v>
      </c>
    </row>
  </sheetData>
  <conditionalFormatting sqref="F2:F31">
    <cfRule type="cellIs" dxfId="0" priority="1" operator="lessThan">
      <formula>10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2285-DAB7-4BB1-B28B-7D6A9CE72853}">
  <dimension ref="A1:P33"/>
  <sheetViews>
    <sheetView showGridLines="0" zoomScaleNormal="100" workbookViewId="0">
      <selection activeCell="H11" sqref="H11"/>
    </sheetView>
  </sheetViews>
  <sheetFormatPr defaultRowHeight="15" x14ac:dyDescent="0.25"/>
  <cols>
    <col min="1" max="5" width="15.7109375" customWidth="1"/>
    <col min="6" max="6" width="19.140625" bestFit="1" customWidth="1"/>
    <col min="7" max="16" width="15.7109375" customWidth="1"/>
  </cols>
  <sheetData>
    <row r="1" spans="1:16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16" x14ac:dyDescent="0.25">
      <c r="A2" s="3">
        <v>45992</v>
      </c>
      <c r="B2" s="2">
        <v>205</v>
      </c>
      <c r="C2" s="6">
        <v>2</v>
      </c>
      <c r="D2" s="2">
        <f>B2-C2</f>
        <v>203</v>
      </c>
      <c r="E2" s="5">
        <v>181</v>
      </c>
      <c r="F2" s="2">
        <f>D2-E2</f>
        <v>22</v>
      </c>
      <c r="G2" s="10">
        <f>E2/D2</f>
        <v>0.89162561576354682</v>
      </c>
      <c r="P2" s="11"/>
    </row>
    <row r="3" spans="1:16" x14ac:dyDescent="0.25">
      <c r="A3" s="3">
        <v>45993</v>
      </c>
      <c r="B3" s="2">
        <v>205</v>
      </c>
      <c r="C3" s="6">
        <v>1</v>
      </c>
      <c r="D3" s="2">
        <f t="shared" ref="D3:D31" si="0">B3-C3</f>
        <v>204</v>
      </c>
      <c r="E3" s="5">
        <v>191</v>
      </c>
      <c r="F3" s="2">
        <f t="shared" ref="F3:F31" si="1">D3-E3</f>
        <v>13</v>
      </c>
      <c r="G3" s="10">
        <f t="shared" ref="G3:G31" si="2">E3/D3</f>
        <v>0.93627450980392157</v>
      </c>
      <c r="P3" s="11"/>
    </row>
    <row r="4" spans="1:16" x14ac:dyDescent="0.25">
      <c r="A4" s="3">
        <v>45994</v>
      </c>
      <c r="B4" s="2">
        <v>205</v>
      </c>
      <c r="C4" s="6">
        <v>2</v>
      </c>
      <c r="D4" s="2">
        <f t="shared" si="0"/>
        <v>203</v>
      </c>
      <c r="E4" s="5">
        <v>198</v>
      </c>
      <c r="F4" s="2">
        <f t="shared" si="1"/>
        <v>5</v>
      </c>
      <c r="G4" s="10">
        <f t="shared" si="2"/>
        <v>0.97536945812807885</v>
      </c>
      <c r="P4" s="11"/>
    </row>
    <row r="5" spans="1:16" x14ac:dyDescent="0.25">
      <c r="A5" s="3">
        <v>45995</v>
      </c>
      <c r="B5" s="2">
        <v>205</v>
      </c>
      <c r="C5" s="6">
        <v>3</v>
      </c>
      <c r="D5" s="2">
        <f t="shared" si="0"/>
        <v>202</v>
      </c>
      <c r="E5" s="5">
        <v>190</v>
      </c>
      <c r="F5" s="2">
        <f t="shared" si="1"/>
        <v>12</v>
      </c>
      <c r="G5" s="10">
        <f t="shared" si="2"/>
        <v>0.94059405940594054</v>
      </c>
      <c r="P5" s="11"/>
    </row>
    <row r="6" spans="1:16" x14ac:dyDescent="0.25">
      <c r="A6" s="3">
        <v>45996</v>
      </c>
      <c r="B6" s="2">
        <v>205</v>
      </c>
      <c r="C6" s="6">
        <v>0</v>
      </c>
      <c r="D6" s="2">
        <f t="shared" si="0"/>
        <v>205</v>
      </c>
      <c r="E6" s="5">
        <v>190</v>
      </c>
      <c r="F6" s="2">
        <f t="shared" si="1"/>
        <v>15</v>
      </c>
      <c r="G6" s="10">
        <f t="shared" si="2"/>
        <v>0.92682926829268297</v>
      </c>
      <c r="P6" s="11"/>
    </row>
    <row r="7" spans="1:16" x14ac:dyDescent="0.25">
      <c r="A7" s="3">
        <v>45997</v>
      </c>
      <c r="B7" s="2">
        <v>205</v>
      </c>
      <c r="C7" s="6">
        <v>0</v>
      </c>
      <c r="D7" s="2">
        <f t="shared" si="0"/>
        <v>205</v>
      </c>
      <c r="E7" s="5">
        <v>194</v>
      </c>
      <c r="F7" s="2">
        <f t="shared" si="1"/>
        <v>11</v>
      </c>
      <c r="G7" s="10">
        <f t="shared" si="2"/>
        <v>0.9463414634146341</v>
      </c>
      <c r="P7" s="11"/>
    </row>
    <row r="8" spans="1:16" x14ac:dyDescent="0.25">
      <c r="A8" s="3">
        <v>45998</v>
      </c>
      <c r="B8" s="2">
        <v>205</v>
      </c>
      <c r="C8" s="6">
        <v>0</v>
      </c>
      <c r="D8" s="2">
        <f t="shared" si="0"/>
        <v>205</v>
      </c>
      <c r="E8" s="5">
        <v>202</v>
      </c>
      <c r="F8" s="2">
        <f t="shared" si="1"/>
        <v>3</v>
      </c>
      <c r="G8" s="10">
        <f t="shared" si="2"/>
        <v>0.98536585365853657</v>
      </c>
      <c r="P8" s="11"/>
    </row>
    <row r="9" spans="1:16" x14ac:dyDescent="0.25">
      <c r="A9" s="3">
        <v>45999</v>
      </c>
      <c r="B9" s="2">
        <v>205</v>
      </c>
      <c r="C9" s="6">
        <v>0</v>
      </c>
      <c r="D9" s="2">
        <f t="shared" si="0"/>
        <v>205</v>
      </c>
      <c r="E9" s="5">
        <v>196</v>
      </c>
      <c r="F9" s="2">
        <f t="shared" si="1"/>
        <v>9</v>
      </c>
      <c r="G9" s="10">
        <f t="shared" si="2"/>
        <v>0.95609756097560972</v>
      </c>
      <c r="P9" s="11"/>
    </row>
    <row r="10" spans="1:16" x14ac:dyDescent="0.25">
      <c r="A10" s="3">
        <v>46000</v>
      </c>
      <c r="B10" s="2">
        <v>205</v>
      </c>
      <c r="C10" s="6">
        <v>1</v>
      </c>
      <c r="D10" s="2">
        <f t="shared" si="0"/>
        <v>204</v>
      </c>
      <c r="E10" s="5">
        <v>195</v>
      </c>
      <c r="F10" s="2">
        <f t="shared" si="1"/>
        <v>9</v>
      </c>
      <c r="G10" s="10">
        <f t="shared" si="2"/>
        <v>0.95588235294117652</v>
      </c>
      <c r="P10" s="11"/>
    </row>
    <row r="11" spans="1:16" x14ac:dyDescent="0.25">
      <c r="A11" s="3">
        <v>46001</v>
      </c>
      <c r="B11" s="2">
        <v>205</v>
      </c>
      <c r="C11" s="6">
        <v>1</v>
      </c>
      <c r="D11" s="2">
        <f t="shared" si="0"/>
        <v>204</v>
      </c>
      <c r="E11" s="5">
        <v>199</v>
      </c>
      <c r="F11" s="2">
        <f t="shared" si="1"/>
        <v>5</v>
      </c>
      <c r="G11" s="10">
        <f t="shared" si="2"/>
        <v>0.97549019607843135</v>
      </c>
      <c r="P11" s="11"/>
    </row>
    <row r="12" spans="1:16" x14ac:dyDescent="0.25">
      <c r="A12" s="3">
        <v>46002</v>
      </c>
      <c r="B12" s="2">
        <v>205</v>
      </c>
      <c r="C12" s="6">
        <v>2</v>
      </c>
      <c r="D12" s="2">
        <f t="shared" si="0"/>
        <v>203</v>
      </c>
      <c r="E12" s="5">
        <v>193</v>
      </c>
      <c r="F12" s="2">
        <f t="shared" si="1"/>
        <v>10</v>
      </c>
      <c r="G12" s="10">
        <f t="shared" si="2"/>
        <v>0.95073891625615758</v>
      </c>
      <c r="P12" s="11"/>
    </row>
    <row r="13" spans="1:16" x14ac:dyDescent="0.25">
      <c r="A13" s="3">
        <v>46003</v>
      </c>
      <c r="B13" s="2">
        <v>205</v>
      </c>
      <c r="C13" s="6">
        <v>0</v>
      </c>
      <c r="D13" s="2">
        <f t="shared" si="0"/>
        <v>205</v>
      </c>
      <c r="E13" s="5">
        <v>208</v>
      </c>
      <c r="F13" s="2">
        <f t="shared" si="1"/>
        <v>-3</v>
      </c>
      <c r="G13" s="10">
        <f t="shared" si="2"/>
        <v>1.0146341463414634</v>
      </c>
      <c r="P13" s="11"/>
    </row>
    <row r="14" spans="1:16" x14ac:dyDescent="0.25">
      <c r="A14" s="3">
        <v>46004</v>
      </c>
      <c r="B14" s="2">
        <v>205</v>
      </c>
      <c r="C14" s="6">
        <v>0</v>
      </c>
      <c r="D14" s="2">
        <f t="shared" si="0"/>
        <v>205</v>
      </c>
      <c r="E14" s="5">
        <v>180</v>
      </c>
      <c r="F14" s="2">
        <f t="shared" si="1"/>
        <v>25</v>
      </c>
      <c r="G14" s="10">
        <f t="shared" si="2"/>
        <v>0.87804878048780488</v>
      </c>
      <c r="P14" s="11"/>
    </row>
    <row r="15" spans="1:16" x14ac:dyDescent="0.25">
      <c r="A15" s="3">
        <v>46005</v>
      </c>
      <c r="B15" s="2">
        <v>205</v>
      </c>
      <c r="C15" s="6">
        <v>1</v>
      </c>
      <c r="D15" s="2">
        <f t="shared" si="0"/>
        <v>204</v>
      </c>
      <c r="E15" s="5">
        <v>193</v>
      </c>
      <c r="F15" s="2">
        <f t="shared" si="1"/>
        <v>11</v>
      </c>
      <c r="G15" s="10">
        <f t="shared" si="2"/>
        <v>0.94607843137254899</v>
      </c>
      <c r="P15" s="11"/>
    </row>
    <row r="16" spans="1:16" x14ac:dyDescent="0.25">
      <c r="A16" s="3">
        <v>46006</v>
      </c>
      <c r="B16" s="2">
        <v>205</v>
      </c>
      <c r="C16" s="6">
        <v>2</v>
      </c>
      <c r="D16" s="2">
        <f t="shared" si="0"/>
        <v>203</v>
      </c>
      <c r="E16" s="5">
        <v>206</v>
      </c>
      <c r="F16" s="2">
        <f t="shared" si="1"/>
        <v>-3</v>
      </c>
      <c r="G16" s="10">
        <f t="shared" si="2"/>
        <v>1.0147783251231528</v>
      </c>
      <c r="P16" s="11"/>
    </row>
    <row r="17" spans="1:16" x14ac:dyDescent="0.25">
      <c r="A17" s="3">
        <v>46007</v>
      </c>
      <c r="B17" s="2">
        <v>205</v>
      </c>
      <c r="C17" s="6">
        <v>3</v>
      </c>
      <c r="D17" s="2">
        <f t="shared" si="0"/>
        <v>202</v>
      </c>
      <c r="E17" s="5">
        <v>200</v>
      </c>
      <c r="F17" s="2">
        <f t="shared" si="1"/>
        <v>2</v>
      </c>
      <c r="G17" s="10">
        <f t="shared" si="2"/>
        <v>0.99009900990099009</v>
      </c>
      <c r="P17" s="11"/>
    </row>
    <row r="18" spans="1:16" x14ac:dyDescent="0.25">
      <c r="A18" s="3">
        <v>46008</v>
      </c>
      <c r="B18" s="2">
        <v>205</v>
      </c>
      <c r="C18" s="6">
        <v>0</v>
      </c>
      <c r="D18" s="2">
        <f t="shared" si="0"/>
        <v>205</v>
      </c>
      <c r="E18" s="5">
        <v>202</v>
      </c>
      <c r="F18" s="2">
        <f t="shared" si="1"/>
        <v>3</v>
      </c>
      <c r="G18" s="10">
        <f t="shared" si="2"/>
        <v>0.98536585365853657</v>
      </c>
      <c r="P18" s="11"/>
    </row>
    <row r="19" spans="1:16" x14ac:dyDescent="0.25">
      <c r="A19" s="3">
        <v>46009</v>
      </c>
      <c r="B19" s="2">
        <v>205</v>
      </c>
      <c r="C19" s="6">
        <v>0</v>
      </c>
      <c r="D19" s="2">
        <f t="shared" si="0"/>
        <v>205</v>
      </c>
      <c r="E19" s="5">
        <v>195</v>
      </c>
      <c r="F19" s="2">
        <f t="shared" si="1"/>
        <v>10</v>
      </c>
      <c r="G19" s="10">
        <f t="shared" si="2"/>
        <v>0.95121951219512191</v>
      </c>
      <c r="P19" s="11"/>
    </row>
    <row r="20" spans="1:16" x14ac:dyDescent="0.25">
      <c r="A20" s="3">
        <v>46010</v>
      </c>
      <c r="B20" s="2">
        <v>205</v>
      </c>
      <c r="C20" s="6">
        <v>1</v>
      </c>
      <c r="D20" s="2">
        <f t="shared" si="0"/>
        <v>204</v>
      </c>
      <c r="E20" s="5">
        <v>198</v>
      </c>
      <c r="F20" s="2">
        <f t="shared" si="1"/>
        <v>6</v>
      </c>
      <c r="G20" s="10">
        <f t="shared" si="2"/>
        <v>0.97058823529411764</v>
      </c>
      <c r="P20" s="11"/>
    </row>
    <row r="21" spans="1:16" x14ac:dyDescent="0.25">
      <c r="A21" s="3">
        <v>46011</v>
      </c>
      <c r="B21" s="2">
        <v>205</v>
      </c>
      <c r="C21" s="6">
        <v>0</v>
      </c>
      <c r="D21" s="2">
        <f t="shared" si="0"/>
        <v>205</v>
      </c>
      <c r="E21" s="5">
        <v>212</v>
      </c>
      <c r="F21" s="2">
        <f t="shared" si="1"/>
        <v>-7</v>
      </c>
      <c r="G21" s="10">
        <f t="shared" si="2"/>
        <v>1.0341463414634147</v>
      </c>
      <c r="P21" s="11"/>
    </row>
    <row r="22" spans="1:16" x14ac:dyDescent="0.25">
      <c r="A22" s="3">
        <v>46012</v>
      </c>
      <c r="B22" s="2">
        <v>205</v>
      </c>
      <c r="C22" s="6">
        <v>2</v>
      </c>
      <c r="D22" s="2">
        <f t="shared" si="0"/>
        <v>203</v>
      </c>
      <c r="E22" s="5">
        <v>196</v>
      </c>
      <c r="F22" s="2">
        <f t="shared" si="1"/>
        <v>7</v>
      </c>
      <c r="G22" s="10">
        <f t="shared" si="2"/>
        <v>0.96551724137931039</v>
      </c>
      <c r="P22" s="11"/>
    </row>
    <row r="23" spans="1:16" x14ac:dyDescent="0.25">
      <c r="A23" s="3">
        <v>46013</v>
      </c>
      <c r="B23" s="2">
        <v>205</v>
      </c>
      <c r="C23" s="6">
        <v>1</v>
      </c>
      <c r="D23" s="2">
        <f t="shared" si="0"/>
        <v>204</v>
      </c>
      <c r="E23" s="5">
        <v>202</v>
      </c>
      <c r="F23" s="2">
        <f t="shared" si="1"/>
        <v>2</v>
      </c>
      <c r="G23" s="10">
        <f t="shared" si="2"/>
        <v>0.99019607843137258</v>
      </c>
      <c r="P23" s="11"/>
    </row>
    <row r="24" spans="1:16" x14ac:dyDescent="0.25">
      <c r="A24" s="3">
        <v>46014</v>
      </c>
      <c r="B24" s="2">
        <v>205</v>
      </c>
      <c r="C24" s="6">
        <v>0</v>
      </c>
      <c r="D24" s="2">
        <f t="shared" si="0"/>
        <v>205</v>
      </c>
      <c r="E24" s="5">
        <v>197</v>
      </c>
      <c r="F24" s="2">
        <f t="shared" si="1"/>
        <v>8</v>
      </c>
      <c r="G24" s="10">
        <f t="shared" si="2"/>
        <v>0.96097560975609753</v>
      </c>
      <c r="P24" s="11"/>
    </row>
    <row r="25" spans="1:16" x14ac:dyDescent="0.25">
      <c r="A25" s="3">
        <v>46015</v>
      </c>
      <c r="B25" s="2">
        <v>205</v>
      </c>
      <c r="C25" s="6">
        <v>2</v>
      </c>
      <c r="D25" s="2">
        <f t="shared" si="0"/>
        <v>203</v>
      </c>
      <c r="E25" s="5">
        <v>200</v>
      </c>
      <c r="F25" s="2">
        <f t="shared" si="1"/>
        <v>3</v>
      </c>
      <c r="G25" s="10">
        <f t="shared" si="2"/>
        <v>0.98522167487684731</v>
      </c>
      <c r="P25" s="11"/>
    </row>
    <row r="26" spans="1:16" x14ac:dyDescent="0.25">
      <c r="A26" s="3">
        <v>46016</v>
      </c>
      <c r="B26" s="2">
        <v>205</v>
      </c>
      <c r="C26" s="6">
        <v>1</v>
      </c>
      <c r="D26" s="2">
        <f t="shared" si="0"/>
        <v>204</v>
      </c>
      <c r="E26" s="5">
        <v>193</v>
      </c>
      <c r="F26" s="2">
        <f t="shared" si="1"/>
        <v>11</v>
      </c>
      <c r="G26" s="10">
        <f t="shared" si="2"/>
        <v>0.94607843137254899</v>
      </c>
      <c r="P26" s="11"/>
    </row>
    <row r="27" spans="1:16" x14ac:dyDescent="0.25">
      <c r="A27" s="3">
        <v>46017</v>
      </c>
      <c r="B27" s="2">
        <v>205</v>
      </c>
      <c r="C27" s="6">
        <v>1</v>
      </c>
      <c r="D27" s="2">
        <f t="shared" si="0"/>
        <v>204</v>
      </c>
      <c r="E27" s="5">
        <v>200</v>
      </c>
      <c r="F27" s="2">
        <f t="shared" si="1"/>
        <v>4</v>
      </c>
      <c r="G27" s="10">
        <f t="shared" si="2"/>
        <v>0.98039215686274506</v>
      </c>
      <c r="P27" s="11"/>
    </row>
    <row r="28" spans="1:16" x14ac:dyDescent="0.25">
      <c r="A28" s="3">
        <v>46018</v>
      </c>
      <c r="B28" s="2">
        <v>205</v>
      </c>
      <c r="C28" s="6">
        <v>1</v>
      </c>
      <c r="D28" s="2">
        <f t="shared" si="0"/>
        <v>204</v>
      </c>
      <c r="E28" s="5">
        <v>196</v>
      </c>
      <c r="F28" s="2">
        <f t="shared" si="1"/>
        <v>8</v>
      </c>
      <c r="G28" s="10">
        <f t="shared" si="2"/>
        <v>0.96078431372549022</v>
      </c>
      <c r="P28" s="11"/>
    </row>
    <row r="29" spans="1:16" x14ac:dyDescent="0.25">
      <c r="A29" s="3">
        <v>46019</v>
      </c>
      <c r="B29" s="2">
        <v>205</v>
      </c>
      <c r="C29" s="6">
        <v>1</v>
      </c>
      <c r="D29" s="2">
        <f t="shared" si="0"/>
        <v>204</v>
      </c>
      <c r="E29" s="5">
        <v>201</v>
      </c>
      <c r="F29" s="2">
        <f t="shared" si="1"/>
        <v>3</v>
      </c>
      <c r="G29" s="10">
        <f t="shared" si="2"/>
        <v>0.98529411764705888</v>
      </c>
      <c r="P29" s="11"/>
    </row>
    <row r="30" spans="1:16" x14ac:dyDescent="0.25">
      <c r="A30" s="3">
        <v>46020</v>
      </c>
      <c r="B30" s="2">
        <v>205</v>
      </c>
      <c r="C30" s="6">
        <v>1</v>
      </c>
      <c r="D30" s="2">
        <f t="shared" si="0"/>
        <v>204</v>
      </c>
      <c r="E30" s="5">
        <v>201</v>
      </c>
      <c r="F30" s="2">
        <f t="shared" si="1"/>
        <v>3</v>
      </c>
      <c r="G30" s="10">
        <f t="shared" si="2"/>
        <v>0.98529411764705888</v>
      </c>
      <c r="P30" s="11"/>
    </row>
    <row r="31" spans="1:16" x14ac:dyDescent="0.25">
      <c r="A31" s="3">
        <v>46021</v>
      </c>
      <c r="B31" s="2">
        <v>205</v>
      </c>
      <c r="C31" s="6">
        <v>0</v>
      </c>
      <c r="D31" s="2">
        <f t="shared" si="0"/>
        <v>205</v>
      </c>
      <c r="E31" s="5">
        <v>199</v>
      </c>
      <c r="F31" s="2">
        <f t="shared" si="1"/>
        <v>6</v>
      </c>
      <c r="G31" s="10">
        <f t="shared" si="2"/>
        <v>0.97073170731707314</v>
      </c>
      <c r="P31" s="11"/>
    </row>
    <row r="32" spans="1:16" x14ac:dyDescent="0.25">
      <c r="A32" s="3">
        <v>46022</v>
      </c>
      <c r="B32" s="2">
        <v>205</v>
      </c>
      <c r="C32" s="6">
        <v>3</v>
      </c>
      <c r="D32" s="2">
        <f t="shared" ref="D32" si="3">B32-C32</f>
        <v>202</v>
      </c>
      <c r="E32" s="5">
        <v>208</v>
      </c>
      <c r="F32" s="2">
        <f t="shared" ref="F32" si="4">D32-E32</f>
        <v>-6</v>
      </c>
      <c r="G32" s="10">
        <f t="shared" ref="G32" si="5">E32/D32</f>
        <v>1.0297029702970297</v>
      </c>
      <c r="P32" s="11"/>
    </row>
    <row r="33" spans="3:5" x14ac:dyDescent="0.25">
      <c r="C33" s="12">
        <f>SUM(C2:C32)</f>
        <v>32</v>
      </c>
      <c r="E33" s="13">
        <f>SUM(E2:E32)</f>
        <v>6116</v>
      </c>
    </row>
  </sheetData>
  <conditionalFormatting sqref="P2:P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51F0-ED17-4A2B-8501-11BFAEAA2590}">
  <dimension ref="A1:P33"/>
  <sheetViews>
    <sheetView showGridLines="0" topLeftCell="A9" zoomScaleNormal="100" workbookViewId="0">
      <selection activeCell="J22" sqref="J22"/>
    </sheetView>
  </sheetViews>
  <sheetFormatPr defaultRowHeight="15" x14ac:dyDescent="0.25"/>
  <cols>
    <col min="1" max="5" width="15.7109375" customWidth="1"/>
    <col min="6" max="6" width="19.140625" bestFit="1" customWidth="1"/>
    <col min="7" max="16" width="15.7109375" customWidth="1"/>
  </cols>
  <sheetData>
    <row r="1" spans="1:16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16" x14ac:dyDescent="0.25">
      <c r="A2" s="3">
        <v>46023</v>
      </c>
      <c r="B2" s="2">
        <v>205</v>
      </c>
      <c r="C2" s="6">
        <v>1</v>
      </c>
      <c r="D2" s="2">
        <f t="shared" ref="D2:D32" si="0">B2-C2</f>
        <v>204</v>
      </c>
      <c r="E2" s="5">
        <v>199</v>
      </c>
      <c r="F2" s="2">
        <f>D2-E2</f>
        <v>5</v>
      </c>
      <c r="G2" s="10">
        <f>E2/D2</f>
        <v>0.97549019607843135</v>
      </c>
      <c r="P2" s="11"/>
    </row>
    <row r="3" spans="1:16" x14ac:dyDescent="0.25">
      <c r="A3" s="3">
        <v>46024</v>
      </c>
      <c r="B3" s="2">
        <v>205</v>
      </c>
      <c r="C3" s="6">
        <v>0</v>
      </c>
      <c r="D3" s="2">
        <f t="shared" si="0"/>
        <v>205</v>
      </c>
      <c r="E3" s="5">
        <v>187</v>
      </c>
      <c r="F3" s="2">
        <f t="shared" ref="F3:F32" si="1">D3-E3</f>
        <v>18</v>
      </c>
      <c r="G3" s="10">
        <f t="shared" ref="G3:G32" si="2">E3/D3</f>
        <v>0.91219512195121955</v>
      </c>
      <c r="P3" s="11"/>
    </row>
    <row r="4" spans="1:16" x14ac:dyDescent="0.25">
      <c r="A4" s="3">
        <v>46025</v>
      </c>
      <c r="B4" s="2">
        <v>205</v>
      </c>
      <c r="C4" s="6">
        <v>0</v>
      </c>
      <c r="D4" s="2">
        <f t="shared" si="0"/>
        <v>205</v>
      </c>
      <c r="E4" s="5">
        <v>202</v>
      </c>
      <c r="F4" s="2">
        <f t="shared" si="1"/>
        <v>3</v>
      </c>
      <c r="G4" s="10">
        <f t="shared" si="2"/>
        <v>0.98536585365853657</v>
      </c>
      <c r="P4" s="11"/>
    </row>
    <row r="5" spans="1:16" x14ac:dyDescent="0.25">
      <c r="A5" s="3">
        <v>46026</v>
      </c>
      <c r="B5" s="2">
        <v>205</v>
      </c>
      <c r="C5" s="6">
        <v>0</v>
      </c>
      <c r="D5" s="2">
        <f t="shared" si="0"/>
        <v>205</v>
      </c>
      <c r="E5" s="5">
        <v>192</v>
      </c>
      <c r="F5" s="2">
        <f t="shared" si="1"/>
        <v>13</v>
      </c>
      <c r="G5" s="10">
        <f t="shared" si="2"/>
        <v>0.93658536585365859</v>
      </c>
      <c r="P5" s="11"/>
    </row>
    <row r="6" spans="1:16" x14ac:dyDescent="0.25">
      <c r="A6" s="3">
        <v>46027</v>
      </c>
      <c r="B6" s="2">
        <v>205</v>
      </c>
      <c r="C6" s="6">
        <v>2</v>
      </c>
      <c r="D6" s="2">
        <f t="shared" si="0"/>
        <v>203</v>
      </c>
      <c r="E6" s="5">
        <v>173</v>
      </c>
      <c r="F6" s="2">
        <f t="shared" si="1"/>
        <v>30</v>
      </c>
      <c r="G6" s="10">
        <f t="shared" si="2"/>
        <v>0.85221674876847286</v>
      </c>
      <c r="P6" s="11"/>
    </row>
    <row r="7" spans="1:16" x14ac:dyDescent="0.25">
      <c r="A7" s="3">
        <v>46028</v>
      </c>
      <c r="B7" s="2">
        <v>205</v>
      </c>
      <c r="C7" s="6">
        <v>4</v>
      </c>
      <c r="D7" s="2">
        <f t="shared" si="0"/>
        <v>201</v>
      </c>
      <c r="E7" s="5">
        <v>177</v>
      </c>
      <c r="F7" s="2">
        <f t="shared" si="1"/>
        <v>24</v>
      </c>
      <c r="G7" s="10">
        <f t="shared" si="2"/>
        <v>0.88059701492537312</v>
      </c>
      <c r="P7" s="11"/>
    </row>
    <row r="8" spans="1:16" x14ac:dyDescent="0.25">
      <c r="A8" s="3">
        <v>46029</v>
      </c>
      <c r="B8" s="2">
        <v>205</v>
      </c>
      <c r="C8" s="6">
        <v>3</v>
      </c>
      <c r="D8" s="2">
        <f t="shared" si="0"/>
        <v>202</v>
      </c>
      <c r="E8" s="5">
        <v>182</v>
      </c>
      <c r="F8" s="2">
        <f t="shared" si="1"/>
        <v>20</v>
      </c>
      <c r="G8" s="10">
        <f t="shared" si="2"/>
        <v>0.90099009900990101</v>
      </c>
      <c r="P8" s="11"/>
    </row>
    <row r="9" spans="1:16" x14ac:dyDescent="0.25">
      <c r="A9" s="3">
        <v>46030</v>
      </c>
      <c r="B9" s="2">
        <v>205</v>
      </c>
      <c r="C9" s="6">
        <v>1</v>
      </c>
      <c r="D9" s="2">
        <f t="shared" si="0"/>
        <v>204</v>
      </c>
      <c r="E9" s="5">
        <v>187</v>
      </c>
      <c r="F9" s="2">
        <f t="shared" si="1"/>
        <v>17</v>
      </c>
      <c r="G9" s="10">
        <f t="shared" si="2"/>
        <v>0.91666666666666663</v>
      </c>
      <c r="P9" s="11"/>
    </row>
    <row r="10" spans="1:16" x14ac:dyDescent="0.25">
      <c r="A10" s="3">
        <v>46031</v>
      </c>
      <c r="B10" s="2">
        <v>205</v>
      </c>
      <c r="C10" s="6">
        <v>3</v>
      </c>
      <c r="D10" s="2">
        <f t="shared" si="0"/>
        <v>202</v>
      </c>
      <c r="E10" s="5">
        <v>203</v>
      </c>
      <c r="F10" s="2">
        <f t="shared" si="1"/>
        <v>-1</v>
      </c>
      <c r="G10" s="10">
        <f t="shared" si="2"/>
        <v>1.004950495049505</v>
      </c>
      <c r="P10" s="11"/>
    </row>
    <row r="11" spans="1:16" x14ac:dyDescent="0.25">
      <c r="A11" s="3">
        <v>46032</v>
      </c>
      <c r="B11" s="2">
        <v>205</v>
      </c>
      <c r="C11" s="6">
        <v>2</v>
      </c>
      <c r="D11" s="2">
        <f t="shared" si="0"/>
        <v>203</v>
      </c>
      <c r="E11" s="5">
        <v>193</v>
      </c>
      <c r="F11" s="2">
        <f t="shared" si="1"/>
        <v>10</v>
      </c>
      <c r="G11" s="10">
        <f t="shared" si="2"/>
        <v>0.95073891625615758</v>
      </c>
      <c r="P11" s="11"/>
    </row>
    <row r="12" spans="1:16" x14ac:dyDescent="0.25">
      <c r="A12" s="3">
        <v>46033</v>
      </c>
      <c r="B12" s="2">
        <v>205</v>
      </c>
      <c r="C12" s="6">
        <v>0</v>
      </c>
      <c r="D12" s="2">
        <f t="shared" si="0"/>
        <v>205</v>
      </c>
      <c r="E12" s="5">
        <v>199</v>
      </c>
      <c r="F12" s="2">
        <f t="shared" si="1"/>
        <v>6</v>
      </c>
      <c r="G12" s="10">
        <f t="shared" si="2"/>
        <v>0.97073170731707314</v>
      </c>
      <c r="P12" s="11"/>
    </row>
    <row r="13" spans="1:16" x14ac:dyDescent="0.25">
      <c r="A13" s="3">
        <v>46034</v>
      </c>
      <c r="B13" s="2">
        <v>205</v>
      </c>
      <c r="C13" s="6">
        <v>1</v>
      </c>
      <c r="D13" s="2">
        <f t="shared" si="0"/>
        <v>204</v>
      </c>
      <c r="E13" s="5">
        <v>196</v>
      </c>
      <c r="F13" s="2">
        <f t="shared" si="1"/>
        <v>8</v>
      </c>
      <c r="G13" s="10">
        <f t="shared" si="2"/>
        <v>0.96078431372549022</v>
      </c>
      <c r="P13" s="11"/>
    </row>
    <row r="14" spans="1:16" x14ac:dyDescent="0.25">
      <c r="A14" s="3">
        <v>46035</v>
      </c>
      <c r="B14" s="2">
        <v>205</v>
      </c>
      <c r="C14" s="6">
        <v>1</v>
      </c>
      <c r="D14" s="2">
        <f t="shared" si="0"/>
        <v>204</v>
      </c>
      <c r="E14" s="5">
        <v>188</v>
      </c>
      <c r="F14" s="2">
        <f t="shared" si="1"/>
        <v>16</v>
      </c>
      <c r="G14" s="10">
        <f t="shared" si="2"/>
        <v>0.92156862745098034</v>
      </c>
      <c r="P14" s="11"/>
    </row>
    <row r="15" spans="1:16" x14ac:dyDescent="0.25">
      <c r="A15" s="3">
        <v>46036</v>
      </c>
      <c r="B15" s="2">
        <v>205</v>
      </c>
      <c r="C15" s="6">
        <v>0</v>
      </c>
      <c r="D15" s="2">
        <f t="shared" si="0"/>
        <v>205</v>
      </c>
      <c r="E15" s="5">
        <v>197</v>
      </c>
      <c r="F15" s="2">
        <f t="shared" si="1"/>
        <v>8</v>
      </c>
      <c r="G15" s="10">
        <f t="shared" si="2"/>
        <v>0.96097560975609753</v>
      </c>
      <c r="P15" s="11"/>
    </row>
    <row r="16" spans="1:16" x14ac:dyDescent="0.25">
      <c r="A16" s="3">
        <v>46037</v>
      </c>
      <c r="B16" s="2">
        <v>205</v>
      </c>
      <c r="C16" s="6">
        <v>2</v>
      </c>
      <c r="D16" s="2">
        <f t="shared" si="0"/>
        <v>203</v>
      </c>
      <c r="E16" s="5">
        <v>187</v>
      </c>
      <c r="F16" s="2">
        <f t="shared" si="1"/>
        <v>16</v>
      </c>
      <c r="G16" s="10">
        <f t="shared" si="2"/>
        <v>0.9211822660098522</v>
      </c>
      <c r="P16" s="11"/>
    </row>
    <row r="17" spans="1:16" x14ac:dyDescent="0.25">
      <c r="A17" s="3">
        <v>46038</v>
      </c>
      <c r="B17" s="2">
        <v>205</v>
      </c>
      <c r="C17" s="6">
        <v>2</v>
      </c>
      <c r="D17" s="2">
        <f t="shared" si="0"/>
        <v>203</v>
      </c>
      <c r="E17" s="5">
        <v>199</v>
      </c>
      <c r="F17" s="2">
        <f t="shared" si="1"/>
        <v>4</v>
      </c>
      <c r="G17" s="10">
        <f t="shared" si="2"/>
        <v>0.98029556650246308</v>
      </c>
      <c r="P17" s="11"/>
    </row>
    <row r="18" spans="1:16" x14ac:dyDescent="0.25">
      <c r="A18" s="3">
        <v>46039</v>
      </c>
      <c r="B18" s="2">
        <v>205</v>
      </c>
      <c r="C18" s="6">
        <v>0</v>
      </c>
      <c r="D18" s="2">
        <f t="shared" si="0"/>
        <v>205</v>
      </c>
      <c r="E18" s="5">
        <v>200</v>
      </c>
      <c r="F18" s="2">
        <f t="shared" si="1"/>
        <v>5</v>
      </c>
      <c r="G18" s="10">
        <f t="shared" si="2"/>
        <v>0.97560975609756095</v>
      </c>
      <c r="P18" s="11"/>
    </row>
    <row r="19" spans="1:16" x14ac:dyDescent="0.25">
      <c r="A19" s="3">
        <v>46040</v>
      </c>
      <c r="B19" s="2">
        <v>205</v>
      </c>
      <c r="C19" s="6">
        <v>1</v>
      </c>
      <c r="D19" s="2">
        <f t="shared" si="0"/>
        <v>204</v>
      </c>
      <c r="E19" s="5">
        <v>200</v>
      </c>
      <c r="F19" s="2">
        <f t="shared" si="1"/>
        <v>4</v>
      </c>
      <c r="G19" s="10">
        <f t="shared" si="2"/>
        <v>0.98039215686274506</v>
      </c>
      <c r="P19" s="11"/>
    </row>
    <row r="20" spans="1:16" x14ac:dyDescent="0.25">
      <c r="A20" s="3">
        <v>46041</v>
      </c>
      <c r="B20" s="2">
        <v>205</v>
      </c>
      <c r="C20" s="6">
        <v>0</v>
      </c>
      <c r="D20" s="2">
        <f t="shared" si="0"/>
        <v>205</v>
      </c>
      <c r="E20" s="5">
        <v>194</v>
      </c>
      <c r="F20" s="2">
        <f t="shared" si="1"/>
        <v>11</v>
      </c>
      <c r="G20" s="10">
        <f t="shared" si="2"/>
        <v>0.9463414634146341</v>
      </c>
      <c r="P20" s="11"/>
    </row>
    <row r="21" spans="1:16" x14ac:dyDescent="0.25">
      <c r="A21" s="3">
        <v>46042</v>
      </c>
      <c r="B21" s="2">
        <v>205</v>
      </c>
      <c r="C21" s="6">
        <v>2</v>
      </c>
      <c r="D21" s="2">
        <f t="shared" si="0"/>
        <v>203</v>
      </c>
      <c r="E21" s="5">
        <v>198</v>
      </c>
      <c r="F21" s="2">
        <f t="shared" si="1"/>
        <v>5</v>
      </c>
      <c r="G21" s="10">
        <f t="shared" si="2"/>
        <v>0.97536945812807885</v>
      </c>
      <c r="P21" s="11"/>
    </row>
    <row r="22" spans="1:16" x14ac:dyDescent="0.25">
      <c r="A22" s="3">
        <v>46043</v>
      </c>
      <c r="B22" s="2">
        <v>205</v>
      </c>
      <c r="C22" s="6">
        <v>0</v>
      </c>
      <c r="D22" s="2">
        <f t="shared" si="0"/>
        <v>205</v>
      </c>
      <c r="E22" s="5">
        <v>205</v>
      </c>
      <c r="F22" s="2">
        <f t="shared" si="1"/>
        <v>0</v>
      </c>
      <c r="G22" s="10">
        <f t="shared" si="2"/>
        <v>1</v>
      </c>
      <c r="P22" s="11"/>
    </row>
    <row r="23" spans="1:16" x14ac:dyDescent="0.25">
      <c r="A23" s="3">
        <v>46044</v>
      </c>
      <c r="B23" s="2">
        <v>205</v>
      </c>
      <c r="C23" s="6">
        <v>0</v>
      </c>
      <c r="D23" s="2">
        <f t="shared" si="0"/>
        <v>205</v>
      </c>
      <c r="E23" s="5">
        <v>195</v>
      </c>
      <c r="F23" s="2">
        <f t="shared" si="1"/>
        <v>10</v>
      </c>
      <c r="G23" s="10">
        <f t="shared" si="2"/>
        <v>0.95121951219512191</v>
      </c>
      <c r="P23" s="11"/>
    </row>
    <row r="24" spans="1:16" x14ac:dyDescent="0.25">
      <c r="A24" s="3">
        <v>46045</v>
      </c>
      <c r="B24" s="2">
        <v>205</v>
      </c>
      <c r="C24" s="6">
        <v>1</v>
      </c>
      <c r="D24" s="2">
        <f t="shared" si="0"/>
        <v>204</v>
      </c>
      <c r="E24" s="5">
        <v>203</v>
      </c>
      <c r="F24" s="2">
        <f t="shared" si="1"/>
        <v>1</v>
      </c>
      <c r="G24" s="10">
        <f t="shared" si="2"/>
        <v>0.99509803921568629</v>
      </c>
      <c r="P24" s="11"/>
    </row>
    <row r="25" spans="1:16" x14ac:dyDescent="0.25">
      <c r="A25" s="3">
        <v>46046</v>
      </c>
      <c r="B25" s="2">
        <v>205</v>
      </c>
      <c r="C25" s="6">
        <v>0</v>
      </c>
      <c r="D25" s="2">
        <f t="shared" si="0"/>
        <v>205</v>
      </c>
      <c r="E25" s="5">
        <v>186</v>
      </c>
      <c r="F25" s="2">
        <f t="shared" si="1"/>
        <v>19</v>
      </c>
      <c r="G25" s="10">
        <f t="shared" si="2"/>
        <v>0.90731707317073174</v>
      </c>
      <c r="P25" s="11"/>
    </row>
    <row r="26" spans="1:16" x14ac:dyDescent="0.25">
      <c r="A26" s="3">
        <v>46047</v>
      </c>
      <c r="B26" s="2">
        <v>205</v>
      </c>
      <c r="C26" s="6">
        <v>0</v>
      </c>
      <c r="D26" s="2">
        <f t="shared" si="0"/>
        <v>205</v>
      </c>
      <c r="E26" s="5">
        <v>193</v>
      </c>
      <c r="F26" s="2">
        <f t="shared" si="1"/>
        <v>12</v>
      </c>
      <c r="G26" s="10">
        <f t="shared" si="2"/>
        <v>0.94146341463414629</v>
      </c>
      <c r="P26" s="11"/>
    </row>
    <row r="27" spans="1:16" x14ac:dyDescent="0.25">
      <c r="A27" s="3">
        <v>46048</v>
      </c>
      <c r="B27" s="2">
        <v>205</v>
      </c>
      <c r="C27" s="6">
        <v>2</v>
      </c>
      <c r="D27" s="2">
        <f t="shared" si="0"/>
        <v>203</v>
      </c>
      <c r="E27" s="5">
        <v>176</v>
      </c>
      <c r="F27" s="2">
        <f t="shared" si="1"/>
        <v>27</v>
      </c>
      <c r="G27" s="10">
        <f t="shared" si="2"/>
        <v>0.86699507389162567</v>
      </c>
      <c r="P27" s="11"/>
    </row>
    <row r="28" spans="1:16" x14ac:dyDescent="0.25">
      <c r="A28" s="3">
        <v>46049</v>
      </c>
      <c r="B28" s="2">
        <v>205</v>
      </c>
      <c r="C28" s="6">
        <v>3</v>
      </c>
      <c r="D28" s="2">
        <f t="shared" si="0"/>
        <v>202</v>
      </c>
      <c r="E28" s="5">
        <v>180</v>
      </c>
      <c r="F28" s="2">
        <f t="shared" si="1"/>
        <v>22</v>
      </c>
      <c r="G28" s="10">
        <f t="shared" si="2"/>
        <v>0.8910891089108911</v>
      </c>
      <c r="P28" s="11"/>
    </row>
    <row r="29" spans="1:16" x14ac:dyDescent="0.25">
      <c r="A29" s="3">
        <v>46050</v>
      </c>
      <c r="B29" s="2">
        <v>205</v>
      </c>
      <c r="C29" s="6">
        <v>3</v>
      </c>
      <c r="D29" s="2">
        <f t="shared" si="0"/>
        <v>202</v>
      </c>
      <c r="E29" s="5">
        <v>183</v>
      </c>
      <c r="F29" s="2">
        <f t="shared" si="1"/>
        <v>19</v>
      </c>
      <c r="G29" s="10">
        <f t="shared" si="2"/>
        <v>0.90594059405940597</v>
      </c>
      <c r="P29" s="11"/>
    </row>
    <row r="30" spans="1:16" x14ac:dyDescent="0.25">
      <c r="A30" s="3">
        <v>46051</v>
      </c>
      <c r="B30" s="2">
        <v>205</v>
      </c>
      <c r="C30" s="6">
        <v>1</v>
      </c>
      <c r="D30" s="2">
        <f t="shared" si="0"/>
        <v>204</v>
      </c>
      <c r="E30" s="5">
        <v>180</v>
      </c>
      <c r="F30" s="2">
        <f t="shared" si="1"/>
        <v>24</v>
      </c>
      <c r="G30" s="10">
        <f t="shared" si="2"/>
        <v>0.88235294117647056</v>
      </c>
      <c r="P30" s="11"/>
    </row>
    <row r="31" spans="1:16" x14ac:dyDescent="0.25">
      <c r="A31" s="3">
        <v>46052</v>
      </c>
      <c r="B31" s="2">
        <v>205</v>
      </c>
      <c r="C31" s="6">
        <v>1</v>
      </c>
      <c r="D31" s="2">
        <f t="shared" si="0"/>
        <v>204</v>
      </c>
      <c r="E31" s="5">
        <v>202</v>
      </c>
      <c r="F31" s="2">
        <f t="shared" si="1"/>
        <v>2</v>
      </c>
      <c r="G31" s="10">
        <f t="shared" si="2"/>
        <v>0.99019607843137258</v>
      </c>
      <c r="P31" s="11"/>
    </row>
    <row r="32" spans="1:16" x14ac:dyDescent="0.25">
      <c r="A32" s="3">
        <v>46053</v>
      </c>
      <c r="B32" s="2">
        <v>205</v>
      </c>
      <c r="C32" s="6">
        <v>1</v>
      </c>
      <c r="D32" s="2">
        <f t="shared" si="0"/>
        <v>204</v>
      </c>
      <c r="E32" s="5">
        <v>190</v>
      </c>
      <c r="F32" s="2">
        <f t="shared" si="1"/>
        <v>14</v>
      </c>
      <c r="G32" s="10">
        <f t="shared" si="2"/>
        <v>0.93137254901960786</v>
      </c>
      <c r="P32" s="11"/>
    </row>
    <row r="33" spans="3:5" x14ac:dyDescent="0.25">
      <c r="C33" s="12">
        <f>SUM(C2:C32)</f>
        <v>37</v>
      </c>
      <c r="E33" s="13">
        <f>SUM(E2:E32)</f>
        <v>5946</v>
      </c>
    </row>
  </sheetData>
  <conditionalFormatting sqref="P2:P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98B3-8ABA-454F-B7C1-A9A770C0D5F3}">
  <dimension ref="A1:P30"/>
  <sheetViews>
    <sheetView showGridLines="0" zoomScaleNormal="100" workbookViewId="0">
      <selection activeCell="H23" sqref="H23"/>
    </sheetView>
  </sheetViews>
  <sheetFormatPr defaultRowHeight="15" x14ac:dyDescent="0.25"/>
  <cols>
    <col min="1" max="5" width="15.7109375" customWidth="1"/>
    <col min="6" max="6" width="19.140625" bestFit="1" customWidth="1"/>
    <col min="7" max="8" width="15.7109375" customWidth="1"/>
    <col min="9" max="9" width="15.5703125" customWidth="1"/>
    <col min="10" max="16" width="15.7109375" customWidth="1"/>
  </cols>
  <sheetData>
    <row r="1" spans="1:16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16" x14ac:dyDescent="0.25">
      <c r="A2" s="3">
        <v>46054</v>
      </c>
      <c r="B2" s="2">
        <v>205</v>
      </c>
      <c r="C2" s="6">
        <v>1</v>
      </c>
      <c r="D2" s="2">
        <f t="shared" ref="D2:D29" si="0">B2-C2</f>
        <v>204</v>
      </c>
      <c r="E2" s="5">
        <v>193</v>
      </c>
      <c r="F2" s="2">
        <f>D2-E2</f>
        <v>11</v>
      </c>
      <c r="G2" s="10">
        <f>E2/D2</f>
        <v>0.94607843137254899</v>
      </c>
      <c r="P2" s="11"/>
    </row>
    <row r="3" spans="1:16" x14ac:dyDescent="0.25">
      <c r="A3" s="3">
        <v>46055</v>
      </c>
      <c r="B3" s="2">
        <v>205</v>
      </c>
      <c r="C3" s="6">
        <v>0</v>
      </c>
      <c r="D3" s="2">
        <f t="shared" si="0"/>
        <v>205</v>
      </c>
      <c r="E3" s="5">
        <v>199</v>
      </c>
      <c r="F3" s="2">
        <f t="shared" ref="F3:F29" si="1">D3-E3</f>
        <v>6</v>
      </c>
      <c r="G3" s="10">
        <f t="shared" ref="G3:G29" si="2">E3/D3</f>
        <v>0.97073170731707314</v>
      </c>
      <c r="P3" s="11"/>
    </row>
    <row r="4" spans="1:16" x14ac:dyDescent="0.25">
      <c r="A4" s="3">
        <v>46056</v>
      </c>
      <c r="B4" s="2">
        <v>205</v>
      </c>
      <c r="C4" s="6">
        <v>0</v>
      </c>
      <c r="D4" s="2">
        <f t="shared" si="0"/>
        <v>205</v>
      </c>
      <c r="E4" s="5">
        <v>204</v>
      </c>
      <c r="F4" s="2">
        <f t="shared" si="1"/>
        <v>1</v>
      </c>
      <c r="G4" s="10">
        <f t="shared" si="2"/>
        <v>0.99512195121951219</v>
      </c>
      <c r="P4" s="11"/>
    </row>
    <row r="5" spans="1:16" x14ac:dyDescent="0.25">
      <c r="A5" s="3">
        <v>46057</v>
      </c>
      <c r="B5" s="2">
        <v>205</v>
      </c>
      <c r="C5" s="6">
        <v>0</v>
      </c>
      <c r="D5" s="2">
        <f t="shared" si="0"/>
        <v>205</v>
      </c>
      <c r="E5" s="5">
        <v>205</v>
      </c>
      <c r="F5" s="2">
        <f t="shared" si="1"/>
        <v>0</v>
      </c>
      <c r="G5" s="10">
        <f t="shared" si="2"/>
        <v>1</v>
      </c>
      <c r="P5" s="11"/>
    </row>
    <row r="6" spans="1:16" x14ac:dyDescent="0.25">
      <c r="A6" s="3">
        <v>46058</v>
      </c>
      <c r="B6" s="2">
        <v>205</v>
      </c>
      <c r="C6" s="6">
        <v>0</v>
      </c>
      <c r="D6" s="2">
        <f t="shared" si="0"/>
        <v>205</v>
      </c>
      <c r="E6" s="5">
        <v>203</v>
      </c>
      <c r="F6" s="2">
        <f t="shared" si="1"/>
        <v>2</v>
      </c>
      <c r="G6" s="10">
        <f t="shared" si="2"/>
        <v>0.99024390243902438</v>
      </c>
      <c r="P6" s="11"/>
    </row>
    <row r="7" spans="1:16" x14ac:dyDescent="0.25">
      <c r="A7" s="3">
        <v>46059</v>
      </c>
      <c r="B7" s="2">
        <v>205</v>
      </c>
      <c r="C7" s="6">
        <v>0</v>
      </c>
      <c r="D7" s="2">
        <f t="shared" si="0"/>
        <v>205</v>
      </c>
      <c r="E7" s="5">
        <v>200</v>
      </c>
      <c r="F7" s="2">
        <f t="shared" si="1"/>
        <v>5</v>
      </c>
      <c r="G7" s="10">
        <f t="shared" si="2"/>
        <v>0.97560975609756095</v>
      </c>
      <c r="P7" s="11"/>
    </row>
    <row r="8" spans="1:16" x14ac:dyDescent="0.25">
      <c r="A8" s="3">
        <v>46060</v>
      </c>
      <c r="B8" s="2">
        <v>205</v>
      </c>
      <c r="C8" s="6">
        <v>1</v>
      </c>
      <c r="D8" s="2">
        <f t="shared" si="0"/>
        <v>204</v>
      </c>
      <c r="E8" s="5">
        <v>199</v>
      </c>
      <c r="F8" s="2">
        <f t="shared" si="1"/>
        <v>5</v>
      </c>
      <c r="G8" s="10">
        <f t="shared" si="2"/>
        <v>0.97549019607843135</v>
      </c>
      <c r="P8" s="11"/>
    </row>
    <row r="9" spans="1:16" x14ac:dyDescent="0.25">
      <c r="A9" s="3">
        <v>46061</v>
      </c>
      <c r="B9" s="2">
        <v>205</v>
      </c>
      <c r="C9" s="6">
        <v>2</v>
      </c>
      <c r="D9" s="2">
        <f t="shared" si="0"/>
        <v>203</v>
      </c>
      <c r="E9" s="5">
        <v>201</v>
      </c>
      <c r="F9" s="2">
        <f t="shared" si="1"/>
        <v>2</v>
      </c>
      <c r="G9" s="10">
        <f t="shared" si="2"/>
        <v>0.99014778325123154</v>
      </c>
      <c r="P9" s="11"/>
    </row>
    <row r="10" spans="1:16" x14ac:dyDescent="0.25">
      <c r="A10" s="3">
        <v>46062</v>
      </c>
      <c r="B10" s="2">
        <v>205</v>
      </c>
      <c r="C10" s="6">
        <v>2</v>
      </c>
      <c r="D10" s="2">
        <f t="shared" si="0"/>
        <v>203</v>
      </c>
      <c r="E10" s="5">
        <v>189</v>
      </c>
      <c r="F10" s="2">
        <f t="shared" si="1"/>
        <v>14</v>
      </c>
      <c r="G10" s="10">
        <f t="shared" si="2"/>
        <v>0.93103448275862066</v>
      </c>
      <c r="P10" s="11"/>
    </row>
    <row r="11" spans="1:16" x14ac:dyDescent="0.25">
      <c r="A11" s="3">
        <v>46063</v>
      </c>
      <c r="B11" s="2">
        <v>205</v>
      </c>
      <c r="C11" s="6">
        <v>2</v>
      </c>
      <c r="D11" s="2">
        <f t="shared" si="0"/>
        <v>203</v>
      </c>
      <c r="E11" s="5">
        <v>195</v>
      </c>
      <c r="F11" s="2">
        <f t="shared" si="1"/>
        <v>8</v>
      </c>
      <c r="G11" s="10">
        <f t="shared" si="2"/>
        <v>0.96059113300492616</v>
      </c>
      <c r="P11" s="11"/>
    </row>
    <row r="12" spans="1:16" x14ac:dyDescent="0.25">
      <c r="A12" s="3">
        <v>46064</v>
      </c>
      <c r="B12" s="2">
        <v>205</v>
      </c>
      <c r="C12" s="6">
        <v>2</v>
      </c>
      <c r="D12" s="2">
        <f t="shared" si="0"/>
        <v>203</v>
      </c>
      <c r="E12" s="5">
        <v>193</v>
      </c>
      <c r="F12" s="2">
        <f t="shared" si="1"/>
        <v>10</v>
      </c>
      <c r="G12" s="10">
        <f t="shared" si="2"/>
        <v>0.95073891625615758</v>
      </c>
      <c r="P12" s="11"/>
    </row>
    <row r="13" spans="1:16" x14ac:dyDescent="0.25">
      <c r="A13" s="3">
        <v>46065</v>
      </c>
      <c r="B13" s="2">
        <v>205</v>
      </c>
      <c r="C13" s="6">
        <v>2</v>
      </c>
      <c r="D13" s="2">
        <f t="shared" si="0"/>
        <v>203</v>
      </c>
      <c r="E13" s="5">
        <v>186</v>
      </c>
      <c r="F13" s="2">
        <f t="shared" si="1"/>
        <v>17</v>
      </c>
      <c r="G13" s="10">
        <f t="shared" si="2"/>
        <v>0.91625615763546797</v>
      </c>
      <c r="P13" s="11"/>
    </row>
    <row r="14" spans="1:16" x14ac:dyDescent="0.25">
      <c r="A14" s="3">
        <v>46066</v>
      </c>
      <c r="B14" s="2">
        <v>205</v>
      </c>
      <c r="C14" s="6">
        <v>1</v>
      </c>
      <c r="D14" s="2">
        <f t="shared" si="0"/>
        <v>204</v>
      </c>
      <c r="E14" s="5">
        <v>188</v>
      </c>
      <c r="F14" s="2">
        <f t="shared" si="1"/>
        <v>16</v>
      </c>
      <c r="G14" s="10">
        <f t="shared" si="2"/>
        <v>0.92156862745098034</v>
      </c>
      <c r="P14" s="11"/>
    </row>
    <row r="15" spans="1:16" x14ac:dyDescent="0.25">
      <c r="A15" s="3">
        <v>46067</v>
      </c>
      <c r="B15" s="2">
        <v>205</v>
      </c>
      <c r="C15" s="6">
        <v>1</v>
      </c>
      <c r="D15" s="2">
        <f t="shared" si="0"/>
        <v>204</v>
      </c>
      <c r="E15" s="5">
        <v>199</v>
      </c>
      <c r="F15" s="2">
        <f t="shared" si="1"/>
        <v>5</v>
      </c>
      <c r="G15" s="10">
        <f t="shared" si="2"/>
        <v>0.97549019607843135</v>
      </c>
      <c r="P15" s="11"/>
    </row>
    <row r="16" spans="1:16" x14ac:dyDescent="0.25">
      <c r="A16" s="3">
        <v>46068</v>
      </c>
      <c r="B16" s="2">
        <v>205</v>
      </c>
      <c r="C16" s="6">
        <v>2</v>
      </c>
      <c r="D16" s="2">
        <f t="shared" si="0"/>
        <v>203</v>
      </c>
      <c r="E16" s="5">
        <v>197</v>
      </c>
      <c r="F16" s="2">
        <f t="shared" si="1"/>
        <v>6</v>
      </c>
      <c r="G16" s="10">
        <f t="shared" si="2"/>
        <v>0.97044334975369462</v>
      </c>
      <c r="P16" s="11"/>
    </row>
    <row r="17" spans="1:16" x14ac:dyDescent="0.25">
      <c r="A17" s="3">
        <v>46069</v>
      </c>
      <c r="B17" s="2">
        <v>205</v>
      </c>
      <c r="C17" s="6">
        <v>2</v>
      </c>
      <c r="D17" s="2">
        <f t="shared" si="0"/>
        <v>203</v>
      </c>
      <c r="E17" s="5">
        <v>196</v>
      </c>
      <c r="F17" s="2">
        <f t="shared" si="1"/>
        <v>7</v>
      </c>
      <c r="G17" s="10">
        <f t="shared" si="2"/>
        <v>0.96551724137931039</v>
      </c>
      <c r="P17" s="11"/>
    </row>
    <row r="18" spans="1:16" x14ac:dyDescent="0.25">
      <c r="A18" s="3">
        <v>46070</v>
      </c>
      <c r="B18" s="2">
        <v>205</v>
      </c>
      <c r="C18" s="6">
        <v>2</v>
      </c>
      <c r="D18" s="2">
        <f t="shared" si="0"/>
        <v>203</v>
      </c>
      <c r="E18" s="5">
        <v>183</v>
      </c>
      <c r="F18" s="2">
        <f t="shared" si="1"/>
        <v>20</v>
      </c>
      <c r="G18" s="10">
        <f t="shared" si="2"/>
        <v>0.90147783251231528</v>
      </c>
      <c r="P18" s="11"/>
    </row>
    <row r="19" spans="1:16" x14ac:dyDescent="0.25">
      <c r="A19" s="3">
        <v>46071</v>
      </c>
      <c r="B19" s="2">
        <v>205</v>
      </c>
      <c r="C19" s="6">
        <v>2</v>
      </c>
      <c r="D19" s="2">
        <f t="shared" si="0"/>
        <v>203</v>
      </c>
      <c r="E19" s="5">
        <v>173</v>
      </c>
      <c r="F19" s="2">
        <f t="shared" si="1"/>
        <v>30</v>
      </c>
      <c r="G19" s="10">
        <f t="shared" si="2"/>
        <v>0.85221674876847286</v>
      </c>
      <c r="P19" s="11"/>
    </row>
    <row r="20" spans="1:16" x14ac:dyDescent="0.25">
      <c r="A20" s="3">
        <v>46072</v>
      </c>
      <c r="B20" s="2">
        <v>205</v>
      </c>
      <c r="C20" s="6">
        <v>2</v>
      </c>
      <c r="D20" s="2">
        <f t="shared" si="0"/>
        <v>203</v>
      </c>
      <c r="E20" s="5">
        <v>182</v>
      </c>
      <c r="F20" s="2">
        <f t="shared" si="1"/>
        <v>21</v>
      </c>
      <c r="G20" s="10">
        <f t="shared" si="2"/>
        <v>0.89655172413793105</v>
      </c>
      <c r="P20" s="11"/>
    </row>
    <row r="21" spans="1:16" x14ac:dyDescent="0.25">
      <c r="A21" s="3">
        <v>46073</v>
      </c>
      <c r="B21" s="2">
        <v>205</v>
      </c>
      <c r="C21" s="6">
        <v>3</v>
      </c>
      <c r="D21" s="2">
        <f t="shared" si="0"/>
        <v>202</v>
      </c>
      <c r="E21" s="5">
        <v>200</v>
      </c>
      <c r="F21" s="2">
        <f t="shared" si="1"/>
        <v>2</v>
      </c>
      <c r="G21" s="10">
        <f t="shared" si="2"/>
        <v>0.99009900990099009</v>
      </c>
      <c r="P21" s="11"/>
    </row>
    <row r="22" spans="1:16" x14ac:dyDescent="0.25">
      <c r="A22" s="3">
        <v>46074</v>
      </c>
      <c r="B22" s="2">
        <v>205</v>
      </c>
      <c r="C22" s="6">
        <v>3</v>
      </c>
      <c r="D22" s="2">
        <f t="shared" si="0"/>
        <v>202</v>
      </c>
      <c r="E22" s="5">
        <v>202</v>
      </c>
      <c r="F22" s="2">
        <f t="shared" si="1"/>
        <v>0</v>
      </c>
      <c r="G22" s="10">
        <f t="shared" si="2"/>
        <v>1</v>
      </c>
      <c r="P22" s="11"/>
    </row>
    <row r="23" spans="1:16" x14ac:dyDescent="0.25">
      <c r="A23" s="3">
        <v>46075</v>
      </c>
      <c r="B23" s="2">
        <v>205</v>
      </c>
      <c r="C23" s="6">
        <v>3</v>
      </c>
      <c r="D23" s="2">
        <f t="shared" si="0"/>
        <v>202</v>
      </c>
      <c r="E23" s="5">
        <v>194</v>
      </c>
      <c r="F23" s="2">
        <f t="shared" si="1"/>
        <v>8</v>
      </c>
      <c r="G23" s="10">
        <f t="shared" si="2"/>
        <v>0.96039603960396036</v>
      </c>
      <c r="P23" s="11"/>
    </row>
    <row r="24" spans="1:16" x14ac:dyDescent="0.25">
      <c r="A24" s="3">
        <v>46076</v>
      </c>
      <c r="B24" s="2">
        <v>205</v>
      </c>
      <c r="C24" s="6">
        <v>3</v>
      </c>
      <c r="D24" s="2">
        <f t="shared" si="0"/>
        <v>202</v>
      </c>
      <c r="E24" s="5">
        <v>195</v>
      </c>
      <c r="F24" s="2">
        <f t="shared" si="1"/>
        <v>7</v>
      </c>
      <c r="G24" s="10">
        <f t="shared" si="2"/>
        <v>0.96534653465346532</v>
      </c>
      <c r="P24" s="11"/>
    </row>
    <row r="25" spans="1:16" x14ac:dyDescent="0.25">
      <c r="A25" s="3">
        <v>46077</v>
      </c>
      <c r="B25" s="2">
        <v>205</v>
      </c>
      <c r="C25" s="6">
        <v>3</v>
      </c>
      <c r="D25" s="2">
        <f t="shared" si="0"/>
        <v>202</v>
      </c>
      <c r="E25" s="5">
        <v>195</v>
      </c>
      <c r="F25" s="2">
        <f t="shared" si="1"/>
        <v>7</v>
      </c>
      <c r="G25" s="10">
        <f t="shared" si="2"/>
        <v>0.96534653465346532</v>
      </c>
      <c r="P25" s="11"/>
    </row>
    <row r="26" spans="1:16" x14ac:dyDescent="0.25">
      <c r="A26" s="3">
        <v>46078</v>
      </c>
      <c r="B26" s="2">
        <v>205</v>
      </c>
      <c r="C26" s="6">
        <v>3</v>
      </c>
      <c r="D26" s="2">
        <f t="shared" si="0"/>
        <v>202</v>
      </c>
      <c r="E26" s="5">
        <v>201</v>
      </c>
      <c r="F26" s="2">
        <f t="shared" si="1"/>
        <v>1</v>
      </c>
      <c r="G26" s="10">
        <f t="shared" si="2"/>
        <v>0.99504950495049505</v>
      </c>
      <c r="P26" s="11"/>
    </row>
    <row r="27" spans="1:16" x14ac:dyDescent="0.25">
      <c r="A27" s="3">
        <v>46079</v>
      </c>
      <c r="B27" s="2">
        <v>205</v>
      </c>
      <c r="C27" s="6">
        <v>3</v>
      </c>
      <c r="D27" s="2">
        <f t="shared" si="0"/>
        <v>202</v>
      </c>
      <c r="E27" s="5">
        <v>194</v>
      </c>
      <c r="F27" s="2">
        <f t="shared" si="1"/>
        <v>8</v>
      </c>
      <c r="G27" s="10">
        <f t="shared" si="2"/>
        <v>0.96039603960396036</v>
      </c>
      <c r="P27" s="11"/>
    </row>
    <row r="28" spans="1:16" x14ac:dyDescent="0.25">
      <c r="A28" s="3">
        <v>46080</v>
      </c>
      <c r="B28" s="2">
        <v>205</v>
      </c>
      <c r="C28" s="6">
        <v>3</v>
      </c>
      <c r="D28" s="2">
        <f t="shared" si="0"/>
        <v>202</v>
      </c>
      <c r="E28" s="5">
        <v>195</v>
      </c>
      <c r="F28" s="2">
        <f t="shared" si="1"/>
        <v>7</v>
      </c>
      <c r="G28" s="10">
        <f t="shared" si="2"/>
        <v>0.96534653465346532</v>
      </c>
      <c r="P28" s="11"/>
    </row>
    <row r="29" spans="1:16" x14ac:dyDescent="0.25">
      <c r="A29" s="3">
        <v>46081</v>
      </c>
      <c r="B29" s="2">
        <v>205</v>
      </c>
      <c r="C29" s="6">
        <v>3</v>
      </c>
      <c r="D29" s="2">
        <f t="shared" si="0"/>
        <v>202</v>
      </c>
      <c r="E29" s="5">
        <v>192</v>
      </c>
      <c r="F29" s="2">
        <f t="shared" si="1"/>
        <v>10</v>
      </c>
      <c r="G29" s="10">
        <f t="shared" si="2"/>
        <v>0.95049504950495045</v>
      </c>
      <c r="P29" s="11"/>
    </row>
    <row r="30" spans="1:16" x14ac:dyDescent="0.25">
      <c r="C30" s="12">
        <f>SUM(C2:C29)</f>
        <v>51</v>
      </c>
      <c r="E30" s="13">
        <f>SUM(E2:E29)</f>
        <v>5453</v>
      </c>
    </row>
  </sheetData>
  <conditionalFormatting sqref="P2:P2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9569-00FB-4BA1-96D3-D663B2C646C9}">
  <dimension ref="A1:P33"/>
  <sheetViews>
    <sheetView showGridLines="0" zoomScale="85" zoomScaleNormal="85" workbookViewId="0">
      <selection activeCell="D2" sqref="D2:D32"/>
    </sheetView>
  </sheetViews>
  <sheetFormatPr defaultRowHeight="15" x14ac:dyDescent="0.25"/>
  <cols>
    <col min="1" max="5" width="15.7109375" customWidth="1"/>
    <col min="6" max="6" width="19.140625" bestFit="1" customWidth="1"/>
    <col min="7" max="16" width="15.7109375" customWidth="1"/>
  </cols>
  <sheetData>
    <row r="1" spans="1:16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16" x14ac:dyDescent="0.25">
      <c r="A2" s="3">
        <v>46082</v>
      </c>
      <c r="B2" s="2">
        <v>205</v>
      </c>
      <c r="C2" s="6">
        <v>3</v>
      </c>
      <c r="D2" s="2">
        <f t="shared" ref="D2:D32" si="0">B2-C2</f>
        <v>202</v>
      </c>
      <c r="E2" s="5">
        <v>183</v>
      </c>
      <c r="F2" s="2">
        <f>D2-E2</f>
        <v>19</v>
      </c>
      <c r="G2" s="10">
        <f>E2/D2</f>
        <v>0.90594059405940597</v>
      </c>
      <c r="P2" s="11"/>
    </row>
    <row r="3" spans="1:16" x14ac:dyDescent="0.25">
      <c r="A3" s="3">
        <v>46083</v>
      </c>
      <c r="B3" s="2">
        <v>205</v>
      </c>
      <c r="C3" s="6">
        <v>13</v>
      </c>
      <c r="D3" s="2">
        <f t="shared" si="0"/>
        <v>192</v>
      </c>
      <c r="E3" s="5">
        <v>192</v>
      </c>
      <c r="F3" s="2">
        <f t="shared" ref="F3:F32" si="1">D3-E3</f>
        <v>0</v>
      </c>
      <c r="G3" s="10">
        <f t="shared" ref="G3:G32" si="2">E3/D3</f>
        <v>1</v>
      </c>
      <c r="P3" s="11"/>
    </row>
    <row r="4" spans="1:16" x14ac:dyDescent="0.25">
      <c r="A4" s="3">
        <v>46084</v>
      </c>
      <c r="B4" s="2">
        <v>205</v>
      </c>
      <c r="C4" s="6">
        <v>11</v>
      </c>
      <c r="D4" s="2">
        <f t="shared" si="0"/>
        <v>194</v>
      </c>
      <c r="E4" s="5">
        <v>191</v>
      </c>
      <c r="F4" s="2">
        <f t="shared" si="1"/>
        <v>3</v>
      </c>
      <c r="G4" s="10">
        <f t="shared" si="2"/>
        <v>0.98453608247422686</v>
      </c>
      <c r="P4" s="11"/>
    </row>
    <row r="5" spans="1:16" x14ac:dyDescent="0.25">
      <c r="A5" s="3">
        <v>46085</v>
      </c>
      <c r="B5" s="2">
        <v>205</v>
      </c>
      <c r="C5" s="6">
        <v>9</v>
      </c>
      <c r="D5" s="2">
        <f t="shared" si="0"/>
        <v>196</v>
      </c>
      <c r="E5" s="5">
        <v>189</v>
      </c>
      <c r="F5" s="2">
        <f t="shared" si="1"/>
        <v>7</v>
      </c>
      <c r="G5" s="10">
        <f t="shared" si="2"/>
        <v>0.9642857142857143</v>
      </c>
      <c r="P5" s="11"/>
    </row>
    <row r="6" spans="1:16" x14ac:dyDescent="0.25">
      <c r="A6" s="3">
        <v>46086</v>
      </c>
      <c r="B6" s="2">
        <v>205</v>
      </c>
      <c r="C6" s="6">
        <v>9</v>
      </c>
      <c r="D6" s="2">
        <f t="shared" si="0"/>
        <v>196</v>
      </c>
      <c r="E6" s="5">
        <v>186</v>
      </c>
      <c r="F6" s="2">
        <f t="shared" si="1"/>
        <v>10</v>
      </c>
      <c r="G6" s="10">
        <f t="shared" si="2"/>
        <v>0.94897959183673475</v>
      </c>
      <c r="P6" s="11"/>
    </row>
    <row r="7" spans="1:16" x14ac:dyDescent="0.25">
      <c r="A7" s="3">
        <v>46087</v>
      </c>
      <c r="B7" s="2">
        <v>205</v>
      </c>
      <c r="C7" s="6">
        <v>11</v>
      </c>
      <c r="D7" s="2">
        <f t="shared" si="0"/>
        <v>194</v>
      </c>
      <c r="E7" s="5">
        <v>193</v>
      </c>
      <c r="F7" s="2">
        <f t="shared" si="1"/>
        <v>1</v>
      </c>
      <c r="G7" s="10">
        <f t="shared" si="2"/>
        <v>0.99484536082474229</v>
      </c>
      <c r="P7" s="11"/>
    </row>
    <row r="8" spans="1:16" x14ac:dyDescent="0.25">
      <c r="A8" s="3">
        <v>46088</v>
      </c>
      <c r="B8" s="2">
        <v>205</v>
      </c>
      <c r="C8" s="6">
        <v>9</v>
      </c>
      <c r="D8" s="2">
        <f t="shared" si="0"/>
        <v>196</v>
      </c>
      <c r="E8" s="5">
        <v>197</v>
      </c>
      <c r="F8" s="2">
        <f t="shared" si="1"/>
        <v>-1</v>
      </c>
      <c r="G8" s="10">
        <f t="shared" si="2"/>
        <v>1.0051020408163265</v>
      </c>
      <c r="P8" s="11"/>
    </row>
    <row r="9" spans="1:16" x14ac:dyDescent="0.25">
      <c r="A9" s="3">
        <v>46089</v>
      </c>
      <c r="B9" s="2">
        <v>205</v>
      </c>
      <c r="C9" s="6">
        <v>9</v>
      </c>
      <c r="D9" s="2">
        <f t="shared" si="0"/>
        <v>196</v>
      </c>
      <c r="E9" s="5">
        <v>196</v>
      </c>
      <c r="F9" s="2">
        <f t="shared" si="1"/>
        <v>0</v>
      </c>
      <c r="G9" s="10">
        <f t="shared" si="2"/>
        <v>1</v>
      </c>
      <c r="P9" s="11"/>
    </row>
    <row r="10" spans="1:16" x14ac:dyDescent="0.25">
      <c r="A10" s="3">
        <v>46090</v>
      </c>
      <c r="B10" s="2">
        <v>205</v>
      </c>
      <c r="C10" s="6">
        <v>9</v>
      </c>
      <c r="D10" s="2">
        <f t="shared" si="0"/>
        <v>196</v>
      </c>
      <c r="E10" s="5">
        <v>186</v>
      </c>
      <c r="F10" s="2">
        <f t="shared" si="1"/>
        <v>10</v>
      </c>
      <c r="G10" s="10">
        <f t="shared" si="2"/>
        <v>0.94897959183673475</v>
      </c>
      <c r="P10" s="11"/>
    </row>
    <row r="11" spans="1:16" x14ac:dyDescent="0.25">
      <c r="A11" s="3">
        <v>46091</v>
      </c>
      <c r="B11" s="2">
        <v>205</v>
      </c>
      <c r="C11" s="6">
        <v>9</v>
      </c>
      <c r="D11" s="2">
        <f t="shared" si="0"/>
        <v>196</v>
      </c>
      <c r="E11" s="5">
        <v>184</v>
      </c>
      <c r="F11" s="2">
        <f t="shared" si="1"/>
        <v>12</v>
      </c>
      <c r="G11" s="10">
        <f t="shared" si="2"/>
        <v>0.93877551020408168</v>
      </c>
      <c r="P11" s="11"/>
    </row>
    <row r="12" spans="1:16" x14ac:dyDescent="0.25">
      <c r="A12" s="3">
        <v>46092</v>
      </c>
      <c r="B12" s="2">
        <v>205</v>
      </c>
      <c r="C12" s="6">
        <v>9</v>
      </c>
      <c r="D12" s="2">
        <f t="shared" si="0"/>
        <v>196</v>
      </c>
      <c r="E12" s="5">
        <v>190</v>
      </c>
      <c r="F12" s="2">
        <f t="shared" si="1"/>
        <v>6</v>
      </c>
      <c r="G12" s="10">
        <f t="shared" si="2"/>
        <v>0.96938775510204078</v>
      </c>
      <c r="P12" s="11"/>
    </row>
    <row r="13" spans="1:16" x14ac:dyDescent="0.25">
      <c r="A13" s="3">
        <v>46093</v>
      </c>
      <c r="B13" s="2">
        <v>205</v>
      </c>
      <c r="C13" s="6">
        <v>9</v>
      </c>
      <c r="D13" s="2">
        <f t="shared" si="0"/>
        <v>196</v>
      </c>
      <c r="E13" s="5">
        <v>185</v>
      </c>
      <c r="F13" s="2">
        <f t="shared" si="1"/>
        <v>11</v>
      </c>
      <c r="G13" s="10">
        <f t="shared" si="2"/>
        <v>0.94387755102040816</v>
      </c>
      <c r="P13" s="11"/>
    </row>
    <row r="14" spans="1:16" x14ac:dyDescent="0.25">
      <c r="A14" s="3">
        <v>46094</v>
      </c>
      <c r="B14" s="2">
        <v>205</v>
      </c>
      <c r="C14" s="6">
        <v>9</v>
      </c>
      <c r="D14" s="2">
        <f t="shared" si="0"/>
        <v>196</v>
      </c>
      <c r="E14" s="5">
        <v>192</v>
      </c>
      <c r="F14" s="2">
        <f t="shared" si="1"/>
        <v>4</v>
      </c>
      <c r="G14" s="10">
        <f t="shared" si="2"/>
        <v>0.97959183673469385</v>
      </c>
      <c r="P14" s="11"/>
    </row>
    <row r="15" spans="1:16" x14ac:dyDescent="0.25">
      <c r="A15" s="3">
        <v>46095</v>
      </c>
      <c r="B15" s="2">
        <v>205</v>
      </c>
      <c r="C15" s="6">
        <v>9</v>
      </c>
      <c r="D15" s="2">
        <f t="shared" si="0"/>
        <v>196</v>
      </c>
      <c r="E15" s="5">
        <v>188</v>
      </c>
      <c r="F15" s="2">
        <f t="shared" si="1"/>
        <v>8</v>
      </c>
      <c r="G15" s="10">
        <f t="shared" si="2"/>
        <v>0.95918367346938771</v>
      </c>
      <c r="P15" s="11"/>
    </row>
    <row r="16" spans="1:16" x14ac:dyDescent="0.25">
      <c r="A16" s="3">
        <v>46096</v>
      </c>
      <c r="B16" s="2">
        <v>205</v>
      </c>
      <c r="C16" s="6">
        <v>9</v>
      </c>
      <c r="D16" s="2">
        <f t="shared" si="0"/>
        <v>196</v>
      </c>
      <c r="E16" s="5">
        <v>194</v>
      </c>
      <c r="F16" s="2">
        <f t="shared" si="1"/>
        <v>2</v>
      </c>
      <c r="G16" s="10">
        <f t="shared" si="2"/>
        <v>0.98979591836734693</v>
      </c>
      <c r="P16" s="11"/>
    </row>
    <row r="17" spans="1:16" x14ac:dyDescent="0.25">
      <c r="A17" s="3">
        <v>46097</v>
      </c>
      <c r="B17" s="2">
        <v>205</v>
      </c>
      <c r="C17" s="6">
        <v>9</v>
      </c>
      <c r="D17" s="2">
        <f t="shared" si="0"/>
        <v>196</v>
      </c>
      <c r="E17" s="5">
        <v>193</v>
      </c>
      <c r="F17" s="2">
        <f t="shared" si="1"/>
        <v>3</v>
      </c>
      <c r="G17" s="10">
        <f t="shared" si="2"/>
        <v>0.98469387755102045</v>
      </c>
      <c r="P17" s="11"/>
    </row>
    <row r="18" spans="1:16" x14ac:dyDescent="0.25">
      <c r="A18" s="3">
        <v>46098</v>
      </c>
      <c r="B18" s="2">
        <v>205</v>
      </c>
      <c r="C18" s="6">
        <v>9</v>
      </c>
      <c r="D18" s="2">
        <f t="shared" si="0"/>
        <v>196</v>
      </c>
      <c r="E18" s="5">
        <v>194</v>
      </c>
      <c r="F18" s="2">
        <f t="shared" si="1"/>
        <v>2</v>
      </c>
      <c r="G18" s="10">
        <f t="shared" si="2"/>
        <v>0.98979591836734693</v>
      </c>
      <c r="P18" s="11"/>
    </row>
    <row r="19" spans="1:16" x14ac:dyDescent="0.25">
      <c r="A19" s="3">
        <v>46099</v>
      </c>
      <c r="B19" s="2">
        <v>205</v>
      </c>
      <c r="C19" s="6">
        <v>9</v>
      </c>
      <c r="D19" s="2">
        <f t="shared" si="0"/>
        <v>196</v>
      </c>
      <c r="E19" s="5">
        <v>190</v>
      </c>
      <c r="F19" s="2">
        <f t="shared" si="1"/>
        <v>6</v>
      </c>
      <c r="G19" s="10">
        <f t="shared" si="2"/>
        <v>0.96938775510204078</v>
      </c>
      <c r="P19" s="11"/>
    </row>
    <row r="20" spans="1:16" x14ac:dyDescent="0.25">
      <c r="A20" s="3">
        <v>46100</v>
      </c>
      <c r="B20" s="2">
        <v>205</v>
      </c>
      <c r="C20" s="6">
        <v>9</v>
      </c>
      <c r="D20" s="2">
        <f t="shared" si="0"/>
        <v>196</v>
      </c>
      <c r="E20" s="5">
        <v>196</v>
      </c>
      <c r="F20" s="2">
        <f t="shared" si="1"/>
        <v>0</v>
      </c>
      <c r="G20" s="10">
        <f t="shared" si="2"/>
        <v>1</v>
      </c>
      <c r="P20" s="11"/>
    </row>
    <row r="21" spans="1:16" x14ac:dyDescent="0.25">
      <c r="A21" s="3">
        <v>46101</v>
      </c>
      <c r="B21" s="2">
        <v>205</v>
      </c>
      <c r="C21" s="6">
        <v>9</v>
      </c>
      <c r="D21" s="2">
        <f t="shared" si="0"/>
        <v>196</v>
      </c>
      <c r="E21" s="5">
        <v>185</v>
      </c>
      <c r="F21" s="2">
        <f t="shared" si="1"/>
        <v>11</v>
      </c>
      <c r="G21" s="10">
        <f t="shared" si="2"/>
        <v>0.94387755102040816</v>
      </c>
      <c r="P21" s="11"/>
    </row>
    <row r="22" spans="1:16" x14ac:dyDescent="0.25">
      <c r="A22" s="3">
        <v>46102</v>
      </c>
      <c r="B22" s="2">
        <v>205</v>
      </c>
      <c r="C22" s="6">
        <v>9</v>
      </c>
      <c r="D22" s="2">
        <f t="shared" si="0"/>
        <v>196</v>
      </c>
      <c r="E22" s="5">
        <v>184</v>
      </c>
      <c r="F22" s="2">
        <f t="shared" si="1"/>
        <v>12</v>
      </c>
      <c r="G22" s="10">
        <f t="shared" si="2"/>
        <v>0.93877551020408168</v>
      </c>
      <c r="P22" s="11"/>
    </row>
    <row r="23" spans="1:16" x14ac:dyDescent="0.25">
      <c r="A23" s="3">
        <v>46103</v>
      </c>
      <c r="B23" s="2">
        <v>205</v>
      </c>
      <c r="C23" s="6">
        <v>10</v>
      </c>
      <c r="D23" s="2">
        <f t="shared" si="0"/>
        <v>195</v>
      </c>
      <c r="E23" s="5">
        <v>190</v>
      </c>
      <c r="F23" s="2">
        <f t="shared" si="1"/>
        <v>5</v>
      </c>
      <c r="G23" s="10">
        <f t="shared" si="2"/>
        <v>0.97435897435897434</v>
      </c>
      <c r="P23" s="11"/>
    </row>
    <row r="24" spans="1:16" x14ac:dyDescent="0.25">
      <c r="A24" s="3">
        <v>46104</v>
      </c>
      <c r="B24" s="2">
        <v>205</v>
      </c>
      <c r="C24" s="6">
        <v>9</v>
      </c>
      <c r="D24" s="2">
        <f t="shared" si="0"/>
        <v>196</v>
      </c>
      <c r="E24" s="5">
        <v>189</v>
      </c>
      <c r="F24" s="2">
        <f t="shared" si="1"/>
        <v>7</v>
      </c>
      <c r="G24" s="10">
        <f t="shared" si="2"/>
        <v>0.9642857142857143</v>
      </c>
      <c r="P24" s="11"/>
    </row>
    <row r="25" spans="1:16" x14ac:dyDescent="0.25">
      <c r="A25" s="3">
        <v>46105</v>
      </c>
      <c r="B25" s="2">
        <v>205</v>
      </c>
      <c r="C25" s="6">
        <v>9</v>
      </c>
      <c r="D25" s="2">
        <f t="shared" si="0"/>
        <v>196</v>
      </c>
      <c r="E25" s="5">
        <v>194</v>
      </c>
      <c r="F25" s="2">
        <f t="shared" si="1"/>
        <v>2</v>
      </c>
      <c r="G25" s="10">
        <f t="shared" si="2"/>
        <v>0.98979591836734693</v>
      </c>
      <c r="P25" s="11"/>
    </row>
    <row r="26" spans="1:16" x14ac:dyDescent="0.25">
      <c r="A26" s="3">
        <v>46106</v>
      </c>
      <c r="B26" s="2">
        <v>205</v>
      </c>
      <c r="C26" s="6">
        <v>10</v>
      </c>
      <c r="D26" s="2">
        <f t="shared" si="0"/>
        <v>195</v>
      </c>
      <c r="E26" s="5">
        <v>191</v>
      </c>
      <c r="F26" s="2">
        <f t="shared" si="1"/>
        <v>4</v>
      </c>
      <c r="G26" s="10">
        <f t="shared" si="2"/>
        <v>0.97948717948717945</v>
      </c>
      <c r="P26" s="11"/>
    </row>
    <row r="27" spans="1:16" x14ac:dyDescent="0.25">
      <c r="A27" s="3">
        <v>46107</v>
      </c>
      <c r="B27" s="2">
        <v>205</v>
      </c>
      <c r="C27" s="6">
        <v>10</v>
      </c>
      <c r="D27" s="2">
        <f t="shared" si="0"/>
        <v>195</v>
      </c>
      <c r="E27" s="5">
        <v>181</v>
      </c>
      <c r="F27" s="2">
        <f t="shared" si="1"/>
        <v>14</v>
      </c>
      <c r="G27" s="10">
        <f t="shared" si="2"/>
        <v>0.92820512820512824</v>
      </c>
      <c r="P27" s="11"/>
    </row>
    <row r="28" spans="1:16" x14ac:dyDescent="0.25">
      <c r="A28" s="3">
        <v>46108</v>
      </c>
      <c r="B28" s="2">
        <v>205</v>
      </c>
      <c r="C28" s="6">
        <v>9</v>
      </c>
      <c r="D28" s="2">
        <f t="shared" si="0"/>
        <v>196</v>
      </c>
      <c r="E28" s="5">
        <v>191</v>
      </c>
      <c r="F28" s="2">
        <f t="shared" si="1"/>
        <v>5</v>
      </c>
      <c r="G28" s="10">
        <f t="shared" si="2"/>
        <v>0.97448979591836737</v>
      </c>
      <c r="P28" s="11"/>
    </row>
    <row r="29" spans="1:16" x14ac:dyDescent="0.25">
      <c r="A29" s="3">
        <v>46109</v>
      </c>
      <c r="B29" s="2">
        <v>205</v>
      </c>
      <c r="C29" s="6">
        <v>11</v>
      </c>
      <c r="D29" s="2">
        <f t="shared" si="0"/>
        <v>194</v>
      </c>
      <c r="E29" s="5">
        <v>192</v>
      </c>
      <c r="F29" s="2">
        <f t="shared" si="1"/>
        <v>2</v>
      </c>
      <c r="G29" s="10">
        <f t="shared" si="2"/>
        <v>0.98969072164948457</v>
      </c>
      <c r="P29" s="11"/>
    </row>
    <row r="30" spans="1:16" x14ac:dyDescent="0.25">
      <c r="A30" s="3">
        <v>46110</v>
      </c>
      <c r="B30" s="2">
        <v>205</v>
      </c>
      <c r="C30" s="6">
        <v>11</v>
      </c>
      <c r="D30" s="2">
        <f t="shared" si="0"/>
        <v>194</v>
      </c>
      <c r="E30" s="5">
        <v>181</v>
      </c>
      <c r="F30" s="2">
        <f t="shared" si="1"/>
        <v>13</v>
      </c>
      <c r="G30" s="10">
        <f t="shared" si="2"/>
        <v>0.9329896907216495</v>
      </c>
      <c r="P30" s="11"/>
    </row>
    <row r="31" spans="1:16" x14ac:dyDescent="0.25">
      <c r="A31" s="3">
        <v>46111</v>
      </c>
      <c r="B31" s="2">
        <v>205</v>
      </c>
      <c r="C31" s="6">
        <v>13</v>
      </c>
      <c r="D31" s="2">
        <f t="shared" si="0"/>
        <v>192</v>
      </c>
      <c r="E31" s="5">
        <v>164</v>
      </c>
      <c r="F31" s="2">
        <f t="shared" si="1"/>
        <v>28</v>
      </c>
      <c r="G31" s="10">
        <f t="shared" si="2"/>
        <v>0.85416666666666663</v>
      </c>
      <c r="P31" s="11"/>
    </row>
    <row r="32" spans="1:16" x14ac:dyDescent="0.25">
      <c r="A32" s="3">
        <v>46112</v>
      </c>
      <c r="B32" s="2">
        <v>205</v>
      </c>
      <c r="C32" s="6">
        <v>12</v>
      </c>
      <c r="D32" s="2">
        <f t="shared" si="0"/>
        <v>193</v>
      </c>
      <c r="E32" s="5">
        <v>171</v>
      </c>
      <c r="F32" s="2">
        <f t="shared" si="1"/>
        <v>22</v>
      </c>
      <c r="G32" s="10">
        <f t="shared" si="2"/>
        <v>0.88601036269430056</v>
      </c>
      <c r="P32" s="11"/>
    </row>
    <row r="33" spans="3:5" x14ac:dyDescent="0.25">
      <c r="C33" s="12">
        <f>SUM(C2:C32)</f>
        <v>295</v>
      </c>
      <c r="E33" s="13">
        <f>SUM(E2:E32)</f>
        <v>5832</v>
      </c>
    </row>
  </sheetData>
  <conditionalFormatting sqref="P2:P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F553-E438-4AFB-9CD9-B99361F229BB}">
  <dimension ref="A1:Q32"/>
  <sheetViews>
    <sheetView showGridLines="0" zoomScaleNormal="100" workbookViewId="0">
      <selection activeCell="F32" sqref="F32"/>
    </sheetView>
  </sheetViews>
  <sheetFormatPr defaultRowHeight="15" x14ac:dyDescent="0.25"/>
  <cols>
    <col min="1" max="5" width="15.7109375" customWidth="1"/>
    <col min="6" max="6" width="19.140625" bestFit="1" customWidth="1"/>
    <col min="7" max="7" width="15.7109375" customWidth="1"/>
    <col min="8" max="8" width="6.28515625" customWidth="1"/>
    <col min="9" max="17" width="15.7109375" customWidth="1"/>
  </cols>
  <sheetData>
    <row r="1" spans="1:17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  <c r="H1" s="16"/>
      <c r="I1" s="18" t="s">
        <v>8</v>
      </c>
      <c r="J1" s="18"/>
    </row>
    <row r="2" spans="1:17" x14ac:dyDescent="0.25">
      <c r="A2" s="3">
        <v>46113</v>
      </c>
      <c r="B2" s="2">
        <v>205</v>
      </c>
      <c r="C2" s="6">
        <v>16</v>
      </c>
      <c r="D2" s="2">
        <f t="shared" ref="D2:D31" si="0">B2-C2</f>
        <v>189</v>
      </c>
      <c r="E2" s="5">
        <v>184</v>
      </c>
      <c r="F2" s="2">
        <f>D2-E2</f>
        <v>5</v>
      </c>
      <c r="G2" s="10">
        <f>E2/D2</f>
        <v>0.97354497354497349</v>
      </c>
      <c r="H2" s="15"/>
      <c r="I2" t="s">
        <v>9</v>
      </c>
      <c r="J2">
        <v>9</v>
      </c>
      <c r="Q2" s="11"/>
    </row>
    <row r="3" spans="1:17" x14ac:dyDescent="0.25">
      <c r="A3" s="3">
        <v>46114</v>
      </c>
      <c r="B3" s="2">
        <v>205</v>
      </c>
      <c r="C3" s="6">
        <v>14</v>
      </c>
      <c r="D3" s="2">
        <f t="shared" si="0"/>
        <v>191</v>
      </c>
      <c r="E3" s="5">
        <v>188</v>
      </c>
      <c r="F3" s="2">
        <f t="shared" ref="F3:F31" si="1">D3-E3</f>
        <v>3</v>
      </c>
      <c r="G3" s="10">
        <f t="shared" ref="G3:G31" si="2">E3/D3</f>
        <v>0.98429319371727753</v>
      </c>
      <c r="H3" s="15"/>
      <c r="I3" t="s">
        <v>7</v>
      </c>
      <c r="J3">
        <f>J2*30</f>
        <v>270</v>
      </c>
      <c r="Q3" s="11"/>
    </row>
    <row r="4" spans="1:17" x14ac:dyDescent="0.25">
      <c r="A4" s="3">
        <v>46115</v>
      </c>
      <c r="B4" s="2">
        <v>205</v>
      </c>
      <c r="C4" s="6">
        <v>15</v>
      </c>
      <c r="D4" s="2">
        <f t="shared" si="0"/>
        <v>190</v>
      </c>
      <c r="E4" s="5">
        <v>188</v>
      </c>
      <c r="F4" s="2">
        <f t="shared" si="1"/>
        <v>2</v>
      </c>
      <c r="G4" s="10">
        <f t="shared" si="2"/>
        <v>0.98947368421052628</v>
      </c>
      <c r="H4" s="15"/>
      <c r="I4" t="s">
        <v>10</v>
      </c>
      <c r="J4">
        <f>C32</f>
        <v>369</v>
      </c>
      <c r="Q4" s="11"/>
    </row>
    <row r="5" spans="1:17" x14ac:dyDescent="0.25">
      <c r="A5" s="3">
        <v>46116</v>
      </c>
      <c r="B5" s="2">
        <v>205</v>
      </c>
      <c r="C5" s="6">
        <v>12</v>
      </c>
      <c r="D5" s="2">
        <f t="shared" si="0"/>
        <v>193</v>
      </c>
      <c r="E5" s="5">
        <v>161</v>
      </c>
      <c r="F5" s="2">
        <f t="shared" si="1"/>
        <v>32</v>
      </c>
      <c r="G5" s="10">
        <f t="shared" si="2"/>
        <v>0.83419689119170981</v>
      </c>
      <c r="H5" s="15"/>
      <c r="I5" s="17" t="s">
        <v>11</v>
      </c>
      <c r="J5" s="17">
        <f>J3-J4</f>
        <v>-99</v>
      </c>
      <c r="Q5" s="11"/>
    </row>
    <row r="6" spans="1:17" x14ac:dyDescent="0.25">
      <c r="A6" s="3">
        <v>46117</v>
      </c>
      <c r="B6" s="2">
        <v>205</v>
      </c>
      <c r="C6" s="6">
        <v>12</v>
      </c>
      <c r="D6" s="2">
        <f t="shared" si="0"/>
        <v>193</v>
      </c>
      <c r="E6" s="5">
        <v>157</v>
      </c>
      <c r="F6" s="2">
        <f t="shared" si="1"/>
        <v>36</v>
      </c>
      <c r="G6" s="10">
        <f t="shared" si="2"/>
        <v>0.81347150259067358</v>
      </c>
      <c r="H6" s="15"/>
      <c r="Q6" s="11"/>
    </row>
    <row r="7" spans="1:17" x14ac:dyDescent="0.25">
      <c r="A7" s="3">
        <v>46118</v>
      </c>
      <c r="B7" s="2">
        <v>205</v>
      </c>
      <c r="C7" s="6">
        <v>14</v>
      </c>
      <c r="D7" s="2">
        <f t="shared" si="0"/>
        <v>191</v>
      </c>
      <c r="E7" s="5">
        <v>150</v>
      </c>
      <c r="F7" s="2">
        <f t="shared" si="1"/>
        <v>41</v>
      </c>
      <c r="G7" s="10">
        <f t="shared" si="2"/>
        <v>0.78534031413612571</v>
      </c>
      <c r="H7" s="15"/>
      <c r="Q7" s="11"/>
    </row>
    <row r="8" spans="1:17" x14ac:dyDescent="0.25">
      <c r="A8" s="3">
        <v>46119</v>
      </c>
      <c r="B8" s="2">
        <v>205</v>
      </c>
      <c r="C8" s="6">
        <v>16</v>
      </c>
      <c r="D8" s="2">
        <f t="shared" si="0"/>
        <v>189</v>
      </c>
      <c r="E8" s="5">
        <v>170</v>
      </c>
      <c r="F8" s="2">
        <f t="shared" si="1"/>
        <v>19</v>
      </c>
      <c r="G8" s="10">
        <f t="shared" si="2"/>
        <v>0.89947089947089942</v>
      </c>
      <c r="H8" s="15"/>
      <c r="Q8" s="11"/>
    </row>
    <row r="9" spans="1:17" x14ac:dyDescent="0.25">
      <c r="A9" s="3">
        <v>46120</v>
      </c>
      <c r="B9" s="2">
        <v>205</v>
      </c>
      <c r="C9" s="6">
        <v>16</v>
      </c>
      <c r="D9" s="2">
        <f t="shared" si="0"/>
        <v>189</v>
      </c>
      <c r="E9" s="5">
        <v>177</v>
      </c>
      <c r="F9" s="2">
        <f t="shared" si="1"/>
        <v>12</v>
      </c>
      <c r="G9" s="10">
        <f t="shared" si="2"/>
        <v>0.93650793650793651</v>
      </c>
      <c r="H9" s="15"/>
      <c r="Q9" s="11"/>
    </row>
    <row r="10" spans="1:17" x14ac:dyDescent="0.25">
      <c r="A10" s="3">
        <v>46121</v>
      </c>
      <c r="B10" s="2">
        <v>205</v>
      </c>
      <c r="C10" s="6">
        <v>13</v>
      </c>
      <c r="D10" s="2">
        <f t="shared" si="0"/>
        <v>192</v>
      </c>
      <c r="E10" s="5">
        <v>189</v>
      </c>
      <c r="F10" s="2">
        <f t="shared" si="1"/>
        <v>3</v>
      </c>
      <c r="G10" s="10">
        <f t="shared" si="2"/>
        <v>0.984375</v>
      </c>
      <c r="H10" s="15"/>
      <c r="Q10" s="11"/>
    </row>
    <row r="11" spans="1:17" x14ac:dyDescent="0.25">
      <c r="A11" s="3">
        <v>46122</v>
      </c>
      <c r="B11" s="2">
        <v>205</v>
      </c>
      <c r="C11" s="6">
        <v>13</v>
      </c>
      <c r="D11" s="2">
        <f t="shared" si="0"/>
        <v>192</v>
      </c>
      <c r="E11" s="5">
        <v>180</v>
      </c>
      <c r="F11" s="2">
        <f t="shared" si="1"/>
        <v>12</v>
      </c>
      <c r="G11" s="10">
        <f t="shared" si="2"/>
        <v>0.9375</v>
      </c>
      <c r="H11" s="15"/>
      <c r="Q11" s="11"/>
    </row>
    <row r="12" spans="1:17" x14ac:dyDescent="0.25">
      <c r="A12" s="3">
        <v>46123</v>
      </c>
      <c r="B12" s="2">
        <v>205</v>
      </c>
      <c r="C12" s="6">
        <v>12</v>
      </c>
      <c r="D12" s="2">
        <f t="shared" si="0"/>
        <v>193</v>
      </c>
      <c r="E12" s="5">
        <v>194</v>
      </c>
      <c r="F12" s="2">
        <f t="shared" si="1"/>
        <v>-1</v>
      </c>
      <c r="G12" s="10">
        <f t="shared" si="2"/>
        <v>1.0051813471502591</v>
      </c>
      <c r="H12" s="15"/>
      <c r="Q12" s="11"/>
    </row>
    <row r="13" spans="1:17" x14ac:dyDescent="0.25">
      <c r="A13" s="3">
        <v>46124</v>
      </c>
      <c r="B13" s="2">
        <v>205</v>
      </c>
      <c r="C13" s="6">
        <v>12</v>
      </c>
      <c r="D13" s="2">
        <f t="shared" si="0"/>
        <v>193</v>
      </c>
      <c r="E13" s="5">
        <v>188</v>
      </c>
      <c r="F13" s="2">
        <f t="shared" si="1"/>
        <v>5</v>
      </c>
      <c r="G13" s="10">
        <f t="shared" si="2"/>
        <v>0.97409326424870468</v>
      </c>
      <c r="H13" s="15"/>
      <c r="Q13" s="11"/>
    </row>
    <row r="14" spans="1:17" x14ac:dyDescent="0.25">
      <c r="A14" s="3">
        <v>46125</v>
      </c>
      <c r="B14" s="2">
        <v>205</v>
      </c>
      <c r="C14" s="6">
        <v>12</v>
      </c>
      <c r="D14" s="2">
        <f t="shared" si="0"/>
        <v>193</v>
      </c>
      <c r="E14" s="5">
        <v>188</v>
      </c>
      <c r="F14" s="2">
        <f t="shared" si="1"/>
        <v>5</v>
      </c>
      <c r="G14" s="10">
        <f t="shared" si="2"/>
        <v>0.97409326424870468</v>
      </c>
      <c r="H14" s="15"/>
      <c r="Q14" s="11"/>
    </row>
    <row r="15" spans="1:17" x14ac:dyDescent="0.25">
      <c r="A15" s="3">
        <v>46126</v>
      </c>
      <c r="B15" s="2">
        <v>205</v>
      </c>
      <c r="C15" s="6">
        <v>13</v>
      </c>
      <c r="D15" s="2">
        <f t="shared" si="0"/>
        <v>192</v>
      </c>
      <c r="E15" s="5">
        <v>186</v>
      </c>
      <c r="F15" s="2">
        <f t="shared" si="1"/>
        <v>6</v>
      </c>
      <c r="G15" s="10">
        <f t="shared" si="2"/>
        <v>0.96875</v>
      </c>
      <c r="H15" s="15"/>
      <c r="Q15" s="11"/>
    </row>
    <row r="16" spans="1:17" x14ac:dyDescent="0.25">
      <c r="A16" s="3">
        <v>46127</v>
      </c>
      <c r="B16" s="2">
        <v>205</v>
      </c>
      <c r="C16" s="6">
        <v>15</v>
      </c>
      <c r="D16" s="2">
        <f t="shared" si="0"/>
        <v>190</v>
      </c>
      <c r="E16" s="5">
        <v>181</v>
      </c>
      <c r="F16" s="2">
        <f t="shared" si="1"/>
        <v>9</v>
      </c>
      <c r="G16" s="10">
        <f t="shared" si="2"/>
        <v>0.95263157894736838</v>
      </c>
      <c r="H16" s="15"/>
      <c r="Q16" s="11"/>
    </row>
    <row r="17" spans="1:17" x14ac:dyDescent="0.25">
      <c r="A17" s="3">
        <v>46128</v>
      </c>
      <c r="B17" s="2">
        <v>205</v>
      </c>
      <c r="C17" s="6">
        <v>13</v>
      </c>
      <c r="D17" s="2">
        <f t="shared" si="0"/>
        <v>192</v>
      </c>
      <c r="E17" s="5">
        <v>185</v>
      </c>
      <c r="F17" s="2">
        <f t="shared" si="1"/>
        <v>7</v>
      </c>
      <c r="G17" s="10">
        <f t="shared" si="2"/>
        <v>0.96354166666666663</v>
      </c>
      <c r="H17" s="15"/>
      <c r="Q17" s="11"/>
    </row>
    <row r="18" spans="1:17" x14ac:dyDescent="0.25">
      <c r="A18" s="3">
        <v>46129</v>
      </c>
      <c r="B18" s="2">
        <v>205</v>
      </c>
      <c r="C18" s="6">
        <v>12</v>
      </c>
      <c r="D18" s="2">
        <f t="shared" si="0"/>
        <v>193</v>
      </c>
      <c r="E18" s="5">
        <v>187</v>
      </c>
      <c r="F18" s="2">
        <f t="shared" si="1"/>
        <v>6</v>
      </c>
      <c r="G18" s="10">
        <f t="shared" si="2"/>
        <v>0.9689119170984456</v>
      </c>
      <c r="H18" s="15"/>
      <c r="Q18" s="11"/>
    </row>
    <row r="19" spans="1:17" x14ac:dyDescent="0.25">
      <c r="A19" s="3">
        <v>46130</v>
      </c>
      <c r="B19" s="2">
        <v>205</v>
      </c>
      <c r="C19" s="6">
        <v>12</v>
      </c>
      <c r="D19" s="2">
        <f t="shared" si="0"/>
        <v>193</v>
      </c>
      <c r="E19" s="5">
        <v>188</v>
      </c>
      <c r="F19" s="2">
        <f t="shared" si="1"/>
        <v>5</v>
      </c>
      <c r="G19" s="10">
        <f t="shared" si="2"/>
        <v>0.97409326424870468</v>
      </c>
      <c r="H19" s="15"/>
      <c r="Q19" s="11"/>
    </row>
    <row r="20" spans="1:17" x14ac:dyDescent="0.25">
      <c r="A20" s="3">
        <v>46131</v>
      </c>
      <c r="B20" s="2">
        <v>205</v>
      </c>
      <c r="C20" s="6">
        <v>12</v>
      </c>
      <c r="D20" s="2">
        <f t="shared" si="0"/>
        <v>193</v>
      </c>
      <c r="E20" s="5">
        <v>172</v>
      </c>
      <c r="F20" s="2">
        <f t="shared" si="1"/>
        <v>21</v>
      </c>
      <c r="G20" s="10">
        <f t="shared" si="2"/>
        <v>0.89119170984455953</v>
      </c>
      <c r="H20" s="15"/>
      <c r="Q20" s="11"/>
    </row>
    <row r="21" spans="1:17" x14ac:dyDescent="0.25">
      <c r="A21" s="3">
        <v>46132</v>
      </c>
      <c r="B21" s="2">
        <v>205</v>
      </c>
      <c r="C21" s="6">
        <v>12</v>
      </c>
      <c r="D21" s="2">
        <f t="shared" si="0"/>
        <v>193</v>
      </c>
      <c r="E21" s="5">
        <v>186</v>
      </c>
      <c r="F21" s="2">
        <f t="shared" si="1"/>
        <v>7</v>
      </c>
      <c r="G21" s="10">
        <f t="shared" si="2"/>
        <v>0.96373056994818651</v>
      </c>
      <c r="H21" s="15"/>
      <c r="Q21" s="11"/>
    </row>
    <row r="22" spans="1:17" x14ac:dyDescent="0.25">
      <c r="A22" s="3">
        <v>46133</v>
      </c>
      <c r="B22" s="2">
        <v>205</v>
      </c>
      <c r="C22" s="6">
        <v>13</v>
      </c>
      <c r="D22" s="2">
        <f t="shared" si="0"/>
        <v>192</v>
      </c>
      <c r="E22" s="5">
        <v>190</v>
      </c>
      <c r="F22" s="2">
        <f t="shared" si="1"/>
        <v>2</v>
      </c>
      <c r="G22" s="10">
        <f t="shared" si="2"/>
        <v>0.98958333333333337</v>
      </c>
      <c r="H22" s="15"/>
      <c r="Q22" s="11"/>
    </row>
    <row r="23" spans="1:17" x14ac:dyDescent="0.25">
      <c r="A23" s="3">
        <v>46134</v>
      </c>
      <c r="B23" s="2">
        <v>205</v>
      </c>
      <c r="C23" s="6">
        <v>12</v>
      </c>
      <c r="D23" s="2">
        <f t="shared" si="0"/>
        <v>193</v>
      </c>
      <c r="E23" s="5">
        <v>183</v>
      </c>
      <c r="F23" s="2">
        <f t="shared" si="1"/>
        <v>10</v>
      </c>
      <c r="G23" s="10">
        <f t="shared" si="2"/>
        <v>0.94818652849740936</v>
      </c>
      <c r="H23" s="15"/>
      <c r="Q23" s="11"/>
    </row>
    <row r="24" spans="1:17" x14ac:dyDescent="0.25">
      <c r="A24" s="3">
        <v>46135</v>
      </c>
      <c r="B24" s="2">
        <v>205</v>
      </c>
      <c r="C24" s="6">
        <v>9</v>
      </c>
      <c r="D24" s="2">
        <f t="shared" si="0"/>
        <v>196</v>
      </c>
      <c r="E24" s="5">
        <v>196</v>
      </c>
      <c r="F24" s="2">
        <f t="shared" si="1"/>
        <v>0</v>
      </c>
      <c r="G24" s="10">
        <f t="shared" si="2"/>
        <v>1</v>
      </c>
      <c r="H24" s="15"/>
      <c r="Q24" s="11"/>
    </row>
    <row r="25" spans="1:17" x14ac:dyDescent="0.25">
      <c r="A25" s="3">
        <v>46136</v>
      </c>
      <c r="B25" s="2">
        <v>205</v>
      </c>
      <c r="C25" s="6">
        <v>9</v>
      </c>
      <c r="D25" s="2">
        <f t="shared" si="0"/>
        <v>196</v>
      </c>
      <c r="E25" s="5">
        <v>192</v>
      </c>
      <c r="F25" s="2">
        <f t="shared" si="1"/>
        <v>4</v>
      </c>
      <c r="G25" s="10">
        <f t="shared" si="2"/>
        <v>0.97959183673469385</v>
      </c>
      <c r="H25" s="15"/>
      <c r="Q25" s="11"/>
    </row>
    <row r="26" spans="1:17" x14ac:dyDescent="0.25">
      <c r="A26" s="3">
        <v>46137</v>
      </c>
      <c r="B26" s="2">
        <v>205</v>
      </c>
      <c r="C26" s="6">
        <v>9</v>
      </c>
      <c r="D26" s="2">
        <f t="shared" si="0"/>
        <v>196</v>
      </c>
      <c r="E26" s="5">
        <v>192</v>
      </c>
      <c r="F26" s="2">
        <f t="shared" si="1"/>
        <v>4</v>
      </c>
      <c r="G26" s="10">
        <f t="shared" si="2"/>
        <v>0.97959183673469385</v>
      </c>
      <c r="H26" s="15"/>
      <c r="Q26" s="11"/>
    </row>
    <row r="27" spans="1:17" x14ac:dyDescent="0.25">
      <c r="A27" s="3">
        <v>46138</v>
      </c>
      <c r="B27" s="2">
        <v>205</v>
      </c>
      <c r="C27" s="6">
        <v>9</v>
      </c>
      <c r="D27" s="2">
        <f t="shared" si="0"/>
        <v>196</v>
      </c>
      <c r="E27" s="5">
        <v>202</v>
      </c>
      <c r="F27" s="2">
        <f t="shared" si="1"/>
        <v>-6</v>
      </c>
      <c r="G27" s="10">
        <f t="shared" si="2"/>
        <v>1.0306122448979591</v>
      </c>
      <c r="H27" s="15"/>
      <c r="Q27" s="11"/>
    </row>
    <row r="28" spans="1:17" x14ac:dyDescent="0.25">
      <c r="A28" s="3">
        <v>46139</v>
      </c>
      <c r="B28" s="2">
        <v>205</v>
      </c>
      <c r="C28" s="6">
        <v>10</v>
      </c>
      <c r="D28" s="2">
        <f t="shared" si="0"/>
        <v>195</v>
      </c>
      <c r="E28" s="5">
        <v>190</v>
      </c>
      <c r="F28" s="2">
        <f t="shared" si="1"/>
        <v>5</v>
      </c>
      <c r="G28" s="10">
        <f t="shared" si="2"/>
        <v>0.97435897435897434</v>
      </c>
      <c r="H28" s="15"/>
      <c r="Q28" s="11"/>
    </row>
    <row r="29" spans="1:17" x14ac:dyDescent="0.25">
      <c r="A29" s="3">
        <v>46140</v>
      </c>
      <c r="B29" s="2">
        <v>205</v>
      </c>
      <c r="C29" s="6">
        <v>10</v>
      </c>
      <c r="D29" s="2">
        <f t="shared" si="0"/>
        <v>195</v>
      </c>
      <c r="E29" s="5">
        <v>184</v>
      </c>
      <c r="F29" s="2">
        <f t="shared" si="1"/>
        <v>11</v>
      </c>
      <c r="G29" s="10">
        <f t="shared" si="2"/>
        <v>0.94358974358974357</v>
      </c>
      <c r="H29" s="15"/>
      <c r="Q29" s="11"/>
    </row>
    <row r="30" spans="1:17" x14ac:dyDescent="0.25">
      <c r="A30" s="3">
        <v>46141</v>
      </c>
      <c r="B30" s="2">
        <v>205</v>
      </c>
      <c r="C30" s="6">
        <v>11</v>
      </c>
      <c r="D30" s="2">
        <f t="shared" si="0"/>
        <v>194</v>
      </c>
      <c r="E30" s="5">
        <v>192</v>
      </c>
      <c r="F30" s="2">
        <f t="shared" si="1"/>
        <v>2</v>
      </c>
      <c r="G30" s="10">
        <f t="shared" si="2"/>
        <v>0.98969072164948457</v>
      </c>
      <c r="H30" s="15"/>
      <c r="Q30" s="11"/>
    </row>
    <row r="31" spans="1:17" x14ac:dyDescent="0.25">
      <c r="A31" s="3">
        <v>46142</v>
      </c>
      <c r="B31" s="2">
        <v>205</v>
      </c>
      <c r="C31" s="6">
        <v>11</v>
      </c>
      <c r="D31" s="2">
        <f t="shared" si="0"/>
        <v>194</v>
      </c>
      <c r="E31" s="5">
        <v>192</v>
      </c>
      <c r="F31" s="2">
        <f t="shared" si="1"/>
        <v>2</v>
      </c>
      <c r="G31" s="10">
        <f t="shared" si="2"/>
        <v>0.98969072164948457</v>
      </c>
      <c r="H31" s="15"/>
      <c r="Q31" s="11"/>
    </row>
    <row r="32" spans="1:17" x14ac:dyDescent="0.25">
      <c r="C32" s="12">
        <f>SUM(C2:C31)</f>
        <v>369</v>
      </c>
      <c r="E32" s="13">
        <f>SUM(E2:E31)</f>
        <v>5512</v>
      </c>
    </row>
  </sheetData>
  <mergeCells count="1">
    <mergeCell ref="I1:J1"/>
  </mergeCells>
  <conditionalFormatting sqref="Q2:Q3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B42B-6E29-4B80-B8D4-1F66E7ADAD6B}">
  <dimension ref="A1:P33"/>
  <sheetViews>
    <sheetView showGridLines="0" zoomScaleNormal="100" workbookViewId="0">
      <selection activeCell="C2" sqref="C2"/>
    </sheetView>
  </sheetViews>
  <sheetFormatPr defaultRowHeight="15" x14ac:dyDescent="0.25"/>
  <cols>
    <col min="1" max="5" width="15.7109375" customWidth="1"/>
    <col min="6" max="6" width="19.140625" bestFit="1" customWidth="1"/>
    <col min="7" max="16" width="15.7109375" customWidth="1"/>
  </cols>
  <sheetData>
    <row r="1" spans="1:16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16" x14ac:dyDescent="0.25">
      <c r="A2" s="3">
        <v>46143</v>
      </c>
      <c r="B2" s="2">
        <v>205</v>
      </c>
      <c r="C2" s="6">
        <v>11</v>
      </c>
      <c r="D2" s="2">
        <f t="shared" ref="D2:D32" si="0">B2-C2</f>
        <v>194</v>
      </c>
      <c r="E2" s="5">
        <v>189</v>
      </c>
      <c r="F2" s="2">
        <f>D2-E2</f>
        <v>5</v>
      </c>
      <c r="G2" s="10">
        <f>E2/D2</f>
        <v>0.97422680412371132</v>
      </c>
      <c r="P2" s="11"/>
    </row>
    <row r="3" spans="1:16" x14ac:dyDescent="0.25">
      <c r="A3" s="3">
        <v>46144</v>
      </c>
      <c r="B3" s="2">
        <v>205</v>
      </c>
      <c r="C3" s="6">
        <v>9</v>
      </c>
      <c r="D3" s="2">
        <f t="shared" si="0"/>
        <v>196</v>
      </c>
      <c r="E3" s="5">
        <v>180</v>
      </c>
      <c r="F3" s="2">
        <f t="shared" ref="F3:F32" si="1">D3-E3</f>
        <v>16</v>
      </c>
      <c r="G3" s="10">
        <f t="shared" ref="G3:G32" si="2">E3/D3</f>
        <v>0.91836734693877553</v>
      </c>
      <c r="P3" s="11"/>
    </row>
    <row r="4" spans="1:16" x14ac:dyDescent="0.25">
      <c r="A4" s="3">
        <v>46145</v>
      </c>
      <c r="B4" s="2">
        <v>205</v>
      </c>
      <c r="C4" s="6">
        <v>10</v>
      </c>
      <c r="D4" s="2">
        <f t="shared" si="0"/>
        <v>195</v>
      </c>
      <c r="E4" s="5">
        <v>172</v>
      </c>
      <c r="F4" s="2">
        <f t="shared" si="1"/>
        <v>23</v>
      </c>
      <c r="G4" s="10">
        <f t="shared" si="2"/>
        <v>0.88205128205128203</v>
      </c>
      <c r="P4" s="11"/>
    </row>
    <row r="5" spans="1:16" x14ac:dyDescent="0.25">
      <c r="A5" s="3">
        <v>46146</v>
      </c>
      <c r="B5" s="2">
        <v>205</v>
      </c>
      <c r="C5" s="6">
        <v>12</v>
      </c>
      <c r="D5" s="2">
        <f t="shared" si="0"/>
        <v>193</v>
      </c>
      <c r="E5" s="5">
        <v>173</v>
      </c>
      <c r="F5" s="2">
        <f t="shared" si="1"/>
        <v>20</v>
      </c>
      <c r="G5" s="10">
        <f t="shared" si="2"/>
        <v>0.89637305699481862</v>
      </c>
      <c r="P5" s="11"/>
    </row>
    <row r="6" spans="1:16" x14ac:dyDescent="0.25">
      <c r="A6" s="3">
        <v>46147</v>
      </c>
      <c r="B6" s="2">
        <v>205</v>
      </c>
      <c r="C6" s="6">
        <v>11</v>
      </c>
      <c r="D6" s="2">
        <f t="shared" si="0"/>
        <v>194</v>
      </c>
      <c r="E6" s="5">
        <v>175</v>
      </c>
      <c r="F6" s="2">
        <f t="shared" si="1"/>
        <v>19</v>
      </c>
      <c r="G6" s="10">
        <f t="shared" si="2"/>
        <v>0.90206185567010311</v>
      </c>
      <c r="P6" s="11"/>
    </row>
    <row r="7" spans="1:16" x14ac:dyDescent="0.25">
      <c r="A7" s="3">
        <v>46148</v>
      </c>
      <c r="B7" s="2">
        <v>205</v>
      </c>
      <c r="C7" s="6">
        <v>12</v>
      </c>
      <c r="D7" s="2">
        <f t="shared" si="0"/>
        <v>193</v>
      </c>
      <c r="E7" s="5">
        <v>177</v>
      </c>
      <c r="F7" s="2">
        <f t="shared" si="1"/>
        <v>16</v>
      </c>
      <c r="G7" s="10">
        <f t="shared" si="2"/>
        <v>0.91709844559585496</v>
      </c>
      <c r="P7" s="11"/>
    </row>
    <row r="8" spans="1:16" x14ac:dyDescent="0.25">
      <c r="A8" s="3">
        <v>46149</v>
      </c>
      <c r="B8" s="2">
        <v>205</v>
      </c>
      <c r="C8" s="6">
        <v>10</v>
      </c>
      <c r="D8" s="2">
        <f t="shared" si="0"/>
        <v>195</v>
      </c>
      <c r="E8" s="5">
        <v>190</v>
      </c>
      <c r="F8" s="2">
        <f t="shared" si="1"/>
        <v>5</v>
      </c>
      <c r="G8" s="10">
        <f t="shared" si="2"/>
        <v>0.97435897435897434</v>
      </c>
      <c r="P8" s="11"/>
    </row>
    <row r="9" spans="1:16" x14ac:dyDescent="0.25">
      <c r="A9" s="3">
        <v>46150</v>
      </c>
      <c r="B9" s="2">
        <v>205</v>
      </c>
      <c r="C9" s="6">
        <v>10</v>
      </c>
      <c r="D9" s="2">
        <f t="shared" si="0"/>
        <v>195</v>
      </c>
      <c r="E9" s="5">
        <v>181</v>
      </c>
      <c r="F9" s="2">
        <f t="shared" si="1"/>
        <v>14</v>
      </c>
      <c r="G9" s="10">
        <f t="shared" si="2"/>
        <v>0.92820512820512824</v>
      </c>
      <c r="P9" s="11"/>
    </row>
    <row r="10" spans="1:16" x14ac:dyDescent="0.25">
      <c r="A10" s="3">
        <v>46151</v>
      </c>
      <c r="B10" s="2">
        <v>205</v>
      </c>
      <c r="C10" s="6">
        <v>11</v>
      </c>
      <c r="D10" s="2">
        <f t="shared" si="0"/>
        <v>194</v>
      </c>
      <c r="E10" s="5">
        <v>190</v>
      </c>
      <c r="F10" s="2">
        <f t="shared" si="1"/>
        <v>4</v>
      </c>
      <c r="G10" s="10">
        <f t="shared" si="2"/>
        <v>0.97938144329896903</v>
      </c>
      <c r="P10" s="11"/>
    </row>
    <row r="11" spans="1:16" x14ac:dyDescent="0.25">
      <c r="A11" s="3">
        <v>46152</v>
      </c>
      <c r="B11" s="2">
        <v>205</v>
      </c>
      <c r="C11" s="6">
        <v>13</v>
      </c>
      <c r="D11" s="2">
        <f t="shared" si="0"/>
        <v>192</v>
      </c>
      <c r="E11" s="5">
        <v>196</v>
      </c>
      <c r="F11" s="2">
        <f t="shared" si="1"/>
        <v>-4</v>
      </c>
      <c r="G11" s="10">
        <f t="shared" si="2"/>
        <v>1.0208333333333333</v>
      </c>
      <c r="P11" s="11"/>
    </row>
    <row r="12" spans="1:16" x14ac:dyDescent="0.25">
      <c r="A12" s="3">
        <v>46153</v>
      </c>
      <c r="B12" s="2">
        <v>205</v>
      </c>
      <c r="C12" s="6">
        <v>13</v>
      </c>
      <c r="D12" s="2">
        <f t="shared" si="0"/>
        <v>192</v>
      </c>
      <c r="E12" s="5">
        <v>179</v>
      </c>
      <c r="F12" s="2">
        <f t="shared" si="1"/>
        <v>13</v>
      </c>
      <c r="G12" s="10">
        <f t="shared" si="2"/>
        <v>0.93229166666666663</v>
      </c>
      <c r="P12" s="11"/>
    </row>
    <row r="13" spans="1:16" x14ac:dyDescent="0.25">
      <c r="A13" s="3">
        <v>46154</v>
      </c>
      <c r="B13" s="2">
        <v>205</v>
      </c>
      <c r="C13" s="6">
        <v>12</v>
      </c>
      <c r="D13" s="2">
        <f t="shared" si="0"/>
        <v>193</v>
      </c>
      <c r="E13" s="5">
        <v>180</v>
      </c>
      <c r="F13" s="2">
        <f t="shared" si="1"/>
        <v>13</v>
      </c>
      <c r="G13" s="10">
        <f t="shared" si="2"/>
        <v>0.93264248704663211</v>
      </c>
      <c r="P13" s="11"/>
    </row>
    <row r="14" spans="1:16" x14ac:dyDescent="0.25">
      <c r="A14" s="3">
        <v>46155</v>
      </c>
      <c r="B14" s="2">
        <v>205</v>
      </c>
      <c r="C14" s="6">
        <v>12</v>
      </c>
      <c r="D14" s="2">
        <f t="shared" si="0"/>
        <v>193</v>
      </c>
      <c r="E14" s="5">
        <v>184</v>
      </c>
      <c r="F14" s="2">
        <f t="shared" si="1"/>
        <v>9</v>
      </c>
      <c r="G14" s="10">
        <f t="shared" si="2"/>
        <v>0.95336787564766834</v>
      </c>
      <c r="P14" s="11"/>
    </row>
    <row r="15" spans="1:16" x14ac:dyDescent="0.25">
      <c r="A15" s="3">
        <v>46156</v>
      </c>
      <c r="B15" s="2">
        <v>205</v>
      </c>
      <c r="C15" s="6">
        <v>12</v>
      </c>
      <c r="D15" s="2">
        <f t="shared" si="0"/>
        <v>193</v>
      </c>
      <c r="E15" s="5">
        <v>188</v>
      </c>
      <c r="F15" s="2">
        <f t="shared" si="1"/>
        <v>5</v>
      </c>
      <c r="G15" s="10">
        <f t="shared" si="2"/>
        <v>0.97409326424870468</v>
      </c>
      <c r="P15" s="11"/>
    </row>
    <row r="16" spans="1:16" x14ac:dyDescent="0.25">
      <c r="A16" s="3">
        <v>46157</v>
      </c>
      <c r="B16" s="2">
        <v>205</v>
      </c>
      <c r="C16" s="6">
        <v>11</v>
      </c>
      <c r="D16" s="2">
        <f t="shared" si="0"/>
        <v>194</v>
      </c>
      <c r="E16" s="5">
        <v>187</v>
      </c>
      <c r="F16" s="2">
        <f t="shared" si="1"/>
        <v>7</v>
      </c>
      <c r="G16" s="10">
        <f t="shared" si="2"/>
        <v>0.96391752577319589</v>
      </c>
      <c r="P16" s="11"/>
    </row>
    <row r="17" spans="1:16" x14ac:dyDescent="0.25">
      <c r="A17" s="3">
        <v>46158</v>
      </c>
      <c r="B17" s="2">
        <v>205</v>
      </c>
      <c r="C17" s="6">
        <v>9</v>
      </c>
      <c r="D17" s="2">
        <f t="shared" si="0"/>
        <v>196</v>
      </c>
      <c r="E17" s="5">
        <v>190</v>
      </c>
      <c r="F17" s="2">
        <f t="shared" si="1"/>
        <v>6</v>
      </c>
      <c r="G17" s="10">
        <f t="shared" si="2"/>
        <v>0.96938775510204078</v>
      </c>
      <c r="P17" s="11"/>
    </row>
    <row r="18" spans="1:16" x14ac:dyDescent="0.25">
      <c r="A18" s="3">
        <v>46159</v>
      </c>
      <c r="B18" s="2">
        <v>205</v>
      </c>
      <c r="C18" s="6">
        <v>10</v>
      </c>
      <c r="D18" s="2">
        <f t="shared" si="0"/>
        <v>195</v>
      </c>
      <c r="E18" s="5">
        <v>191</v>
      </c>
      <c r="F18" s="2">
        <f t="shared" si="1"/>
        <v>4</v>
      </c>
      <c r="G18" s="10">
        <f t="shared" si="2"/>
        <v>0.97948717948717945</v>
      </c>
      <c r="P18" s="11"/>
    </row>
    <row r="19" spans="1:16" x14ac:dyDescent="0.25">
      <c r="A19" s="3">
        <v>46160</v>
      </c>
      <c r="B19" s="2">
        <v>205</v>
      </c>
      <c r="C19" s="6">
        <v>10</v>
      </c>
      <c r="D19" s="2">
        <f t="shared" si="0"/>
        <v>195</v>
      </c>
      <c r="E19" s="5">
        <v>186</v>
      </c>
      <c r="F19" s="2">
        <f t="shared" si="1"/>
        <v>9</v>
      </c>
      <c r="G19" s="10">
        <f t="shared" si="2"/>
        <v>0.9538461538461539</v>
      </c>
      <c r="P19" s="11"/>
    </row>
    <row r="20" spans="1:16" x14ac:dyDescent="0.25">
      <c r="A20" s="3">
        <v>46161</v>
      </c>
      <c r="B20" s="2">
        <v>205</v>
      </c>
      <c r="C20" s="6">
        <v>11</v>
      </c>
      <c r="D20" s="2">
        <f t="shared" si="0"/>
        <v>194</v>
      </c>
      <c r="E20" s="5">
        <v>175</v>
      </c>
      <c r="F20" s="2">
        <f t="shared" si="1"/>
        <v>19</v>
      </c>
      <c r="G20" s="10">
        <f t="shared" si="2"/>
        <v>0.90206185567010311</v>
      </c>
      <c r="P20" s="11"/>
    </row>
    <row r="21" spans="1:16" x14ac:dyDescent="0.25">
      <c r="A21" s="3">
        <v>46162</v>
      </c>
      <c r="B21" s="2">
        <v>205</v>
      </c>
      <c r="C21" s="6">
        <v>11</v>
      </c>
      <c r="D21" s="2">
        <f t="shared" si="0"/>
        <v>194</v>
      </c>
      <c r="E21" s="5">
        <v>176</v>
      </c>
      <c r="F21" s="2">
        <f t="shared" si="1"/>
        <v>18</v>
      </c>
      <c r="G21" s="10">
        <f t="shared" si="2"/>
        <v>0.90721649484536082</v>
      </c>
      <c r="P21" s="11"/>
    </row>
    <row r="22" spans="1:16" x14ac:dyDescent="0.25">
      <c r="A22" s="3">
        <v>46163</v>
      </c>
      <c r="B22" s="2">
        <v>205</v>
      </c>
      <c r="C22" s="6">
        <v>12</v>
      </c>
      <c r="D22" s="2">
        <f t="shared" si="0"/>
        <v>193</v>
      </c>
      <c r="E22" s="5">
        <v>182</v>
      </c>
      <c r="F22" s="2">
        <f t="shared" si="1"/>
        <v>11</v>
      </c>
      <c r="G22" s="10">
        <f t="shared" si="2"/>
        <v>0.94300518134715028</v>
      </c>
      <c r="P22" s="11"/>
    </row>
    <row r="23" spans="1:16" x14ac:dyDescent="0.25">
      <c r="A23" s="3">
        <v>46164</v>
      </c>
      <c r="B23" s="2">
        <v>205</v>
      </c>
      <c r="C23" s="6">
        <v>12</v>
      </c>
      <c r="D23" s="2">
        <f t="shared" si="0"/>
        <v>193</v>
      </c>
      <c r="E23" s="5">
        <v>188</v>
      </c>
      <c r="F23" s="2">
        <f t="shared" si="1"/>
        <v>5</v>
      </c>
      <c r="G23" s="10">
        <f t="shared" si="2"/>
        <v>0.97409326424870468</v>
      </c>
      <c r="P23" s="11"/>
    </row>
    <row r="24" spans="1:16" x14ac:dyDescent="0.25">
      <c r="A24" s="3">
        <v>46165</v>
      </c>
      <c r="B24" s="2">
        <v>205</v>
      </c>
      <c r="C24" s="6">
        <v>13</v>
      </c>
      <c r="D24" s="2">
        <f t="shared" si="0"/>
        <v>192</v>
      </c>
      <c r="E24" s="5">
        <v>184</v>
      </c>
      <c r="F24" s="2">
        <f t="shared" si="1"/>
        <v>8</v>
      </c>
      <c r="G24" s="10">
        <f t="shared" si="2"/>
        <v>0.95833333333333337</v>
      </c>
      <c r="P24" s="11"/>
    </row>
    <row r="25" spans="1:16" x14ac:dyDescent="0.25">
      <c r="A25" s="3">
        <v>46166</v>
      </c>
      <c r="B25" s="2">
        <v>205</v>
      </c>
      <c r="C25" s="6">
        <v>18</v>
      </c>
      <c r="D25" s="2">
        <f t="shared" si="0"/>
        <v>187</v>
      </c>
      <c r="E25" s="5">
        <v>176</v>
      </c>
      <c r="F25" s="2">
        <f t="shared" si="1"/>
        <v>11</v>
      </c>
      <c r="G25" s="10">
        <f t="shared" si="2"/>
        <v>0.94117647058823528</v>
      </c>
      <c r="P25" s="11"/>
    </row>
    <row r="26" spans="1:16" x14ac:dyDescent="0.25">
      <c r="A26" s="3">
        <v>46167</v>
      </c>
      <c r="B26" s="2">
        <v>205</v>
      </c>
      <c r="C26" s="6">
        <v>25</v>
      </c>
      <c r="D26" s="2">
        <f t="shared" si="0"/>
        <v>180</v>
      </c>
      <c r="E26" s="5">
        <v>163</v>
      </c>
      <c r="F26" s="2">
        <f t="shared" si="1"/>
        <v>17</v>
      </c>
      <c r="G26" s="10">
        <f t="shared" si="2"/>
        <v>0.90555555555555556</v>
      </c>
      <c r="P26" s="11"/>
    </row>
    <row r="27" spans="1:16" x14ac:dyDescent="0.25">
      <c r="A27" s="3">
        <v>46168</v>
      </c>
      <c r="B27" s="2">
        <v>205</v>
      </c>
      <c r="C27" s="6">
        <v>24</v>
      </c>
      <c r="D27" s="2">
        <f t="shared" si="0"/>
        <v>181</v>
      </c>
      <c r="E27" s="5">
        <v>154</v>
      </c>
      <c r="F27" s="2">
        <f t="shared" si="1"/>
        <v>27</v>
      </c>
      <c r="G27" s="10">
        <f t="shared" si="2"/>
        <v>0.850828729281768</v>
      </c>
      <c r="P27" s="11"/>
    </row>
    <row r="28" spans="1:16" x14ac:dyDescent="0.25">
      <c r="A28" s="3">
        <v>46169</v>
      </c>
      <c r="B28" s="2">
        <v>205</v>
      </c>
      <c r="C28" s="6">
        <v>26</v>
      </c>
      <c r="D28" s="2">
        <f t="shared" si="0"/>
        <v>179</v>
      </c>
      <c r="E28" s="5">
        <v>172</v>
      </c>
      <c r="F28" s="2">
        <f t="shared" si="1"/>
        <v>7</v>
      </c>
      <c r="G28" s="10">
        <f t="shared" si="2"/>
        <v>0.96089385474860334</v>
      </c>
      <c r="P28" s="11"/>
    </row>
    <row r="29" spans="1:16" x14ac:dyDescent="0.25">
      <c r="A29" s="3">
        <v>46170</v>
      </c>
      <c r="B29" s="2">
        <v>205</v>
      </c>
      <c r="C29" s="6">
        <v>26</v>
      </c>
      <c r="D29" s="2">
        <f t="shared" si="0"/>
        <v>179</v>
      </c>
      <c r="E29" s="5">
        <v>171</v>
      </c>
      <c r="F29" s="2">
        <f t="shared" si="1"/>
        <v>8</v>
      </c>
      <c r="G29" s="10">
        <f t="shared" si="2"/>
        <v>0.95530726256983245</v>
      </c>
      <c r="P29" s="11"/>
    </row>
    <row r="30" spans="1:16" x14ac:dyDescent="0.25">
      <c r="A30" s="3">
        <v>46171</v>
      </c>
      <c r="B30" s="2">
        <v>205</v>
      </c>
      <c r="C30" s="6">
        <v>26</v>
      </c>
      <c r="D30" s="2">
        <f t="shared" si="0"/>
        <v>179</v>
      </c>
      <c r="E30" s="5">
        <v>173</v>
      </c>
      <c r="F30" s="2">
        <f t="shared" si="1"/>
        <v>6</v>
      </c>
      <c r="G30" s="10">
        <f t="shared" si="2"/>
        <v>0.96648044692737434</v>
      </c>
      <c r="P30" s="11"/>
    </row>
    <row r="31" spans="1:16" x14ac:dyDescent="0.25">
      <c r="A31" s="3">
        <v>46172</v>
      </c>
      <c r="B31" s="2">
        <v>205</v>
      </c>
      <c r="C31" s="6">
        <v>26</v>
      </c>
      <c r="D31" s="2">
        <f t="shared" si="0"/>
        <v>179</v>
      </c>
      <c r="E31" s="5">
        <v>166</v>
      </c>
      <c r="F31" s="2">
        <f t="shared" si="1"/>
        <v>13</v>
      </c>
      <c r="G31" s="10">
        <f t="shared" si="2"/>
        <v>0.92737430167597767</v>
      </c>
      <c r="P31" s="11"/>
    </row>
    <row r="32" spans="1:16" x14ac:dyDescent="0.25">
      <c r="A32" s="3">
        <v>46173</v>
      </c>
      <c r="B32" s="2">
        <v>205</v>
      </c>
      <c r="C32" s="6">
        <v>13</v>
      </c>
      <c r="D32" s="2">
        <f t="shared" si="0"/>
        <v>192</v>
      </c>
      <c r="E32" s="5">
        <v>145</v>
      </c>
      <c r="F32" s="2">
        <f t="shared" si="1"/>
        <v>47</v>
      </c>
      <c r="G32" s="10">
        <f t="shared" si="2"/>
        <v>0.75520833333333337</v>
      </c>
      <c r="P32" s="11"/>
    </row>
    <row r="33" spans="3:5" x14ac:dyDescent="0.25">
      <c r="C33" s="12">
        <f>SUM(C2:C32)</f>
        <v>441</v>
      </c>
      <c r="E33" s="13">
        <f>SUM(E2:E32)</f>
        <v>5533</v>
      </c>
    </row>
  </sheetData>
  <conditionalFormatting sqref="P2:P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1FED-E0C2-44C4-B6A3-D81F401B9698}">
  <dimension ref="A1:P32"/>
  <sheetViews>
    <sheetView showGridLines="0" zoomScaleNormal="100" workbookViewId="0">
      <selection activeCell="C34" sqref="C34"/>
    </sheetView>
  </sheetViews>
  <sheetFormatPr defaultColWidth="15.85546875" defaultRowHeight="15" x14ac:dyDescent="0.25"/>
  <cols>
    <col min="1" max="1" width="9.28515625" bestFit="1" customWidth="1"/>
    <col min="2" max="2" width="13.85546875" bestFit="1" customWidth="1"/>
    <col min="3" max="3" width="12" bestFit="1" customWidth="1"/>
    <col min="4" max="4" width="10.140625" bestFit="1" customWidth="1"/>
    <col min="5" max="5" width="10" bestFit="1" customWidth="1"/>
    <col min="6" max="6" width="19.140625" bestFit="1" customWidth="1"/>
    <col min="7" max="7" width="7.140625" bestFit="1" customWidth="1"/>
  </cols>
  <sheetData>
    <row r="1" spans="1:16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16" x14ac:dyDescent="0.25">
      <c r="A2" s="3">
        <v>46174</v>
      </c>
      <c r="B2" s="2">
        <v>205</v>
      </c>
      <c r="C2" s="6">
        <v>19</v>
      </c>
      <c r="D2" s="2">
        <f t="shared" ref="D2:D31" si="0">B2-C2</f>
        <v>186</v>
      </c>
      <c r="E2" s="5">
        <v>115</v>
      </c>
      <c r="F2" s="2">
        <f>D2-E2</f>
        <v>71</v>
      </c>
      <c r="G2" s="10">
        <f>E2/D2</f>
        <v>0.61827956989247312</v>
      </c>
      <c r="P2" s="11"/>
    </row>
    <row r="3" spans="1:16" x14ac:dyDescent="0.25">
      <c r="A3" s="3">
        <v>46175</v>
      </c>
      <c r="B3" s="2">
        <v>205</v>
      </c>
      <c r="C3" s="6">
        <v>14</v>
      </c>
      <c r="D3" s="2">
        <f t="shared" si="0"/>
        <v>191</v>
      </c>
      <c r="E3" s="5">
        <v>98</v>
      </c>
      <c r="F3" s="2">
        <f t="shared" ref="F3:F31" si="1">D3-E3</f>
        <v>93</v>
      </c>
      <c r="G3" s="10">
        <f t="shared" ref="G3:G31" si="2">E3/D3</f>
        <v>0.51308900523560208</v>
      </c>
      <c r="P3" s="11"/>
    </row>
    <row r="4" spans="1:16" x14ac:dyDescent="0.25">
      <c r="A4" s="3">
        <v>46176</v>
      </c>
      <c r="B4" s="2">
        <v>205</v>
      </c>
      <c r="C4" s="6">
        <v>13</v>
      </c>
      <c r="D4" s="2">
        <f t="shared" si="0"/>
        <v>192</v>
      </c>
      <c r="E4" s="5">
        <v>137</v>
      </c>
      <c r="F4" s="2">
        <f t="shared" si="1"/>
        <v>55</v>
      </c>
      <c r="G4" s="10">
        <f t="shared" si="2"/>
        <v>0.71354166666666663</v>
      </c>
      <c r="P4" s="11"/>
    </row>
    <row r="5" spans="1:16" x14ac:dyDescent="0.25">
      <c r="A5" s="3">
        <v>46177</v>
      </c>
      <c r="B5" s="2">
        <v>205</v>
      </c>
      <c r="C5" s="6">
        <v>13</v>
      </c>
      <c r="D5" s="2">
        <f t="shared" si="0"/>
        <v>192</v>
      </c>
      <c r="E5" s="5">
        <v>170</v>
      </c>
      <c r="F5" s="2">
        <f t="shared" si="1"/>
        <v>22</v>
      </c>
      <c r="G5" s="10">
        <f t="shared" si="2"/>
        <v>0.88541666666666663</v>
      </c>
      <c r="P5" s="11"/>
    </row>
    <row r="6" spans="1:16" x14ac:dyDescent="0.25">
      <c r="A6" s="3">
        <v>46178</v>
      </c>
      <c r="B6" s="2">
        <v>205</v>
      </c>
      <c r="C6" s="6">
        <v>13</v>
      </c>
      <c r="D6" s="2">
        <f t="shared" si="0"/>
        <v>192</v>
      </c>
      <c r="E6" s="5">
        <v>165</v>
      </c>
      <c r="F6" s="2">
        <f t="shared" si="1"/>
        <v>27</v>
      </c>
      <c r="G6" s="10">
        <f t="shared" si="2"/>
        <v>0.859375</v>
      </c>
      <c r="P6" s="11"/>
    </row>
    <row r="7" spans="1:16" x14ac:dyDescent="0.25">
      <c r="A7" s="3">
        <v>46179</v>
      </c>
      <c r="B7" s="2">
        <v>205</v>
      </c>
      <c r="C7" s="6">
        <v>11</v>
      </c>
      <c r="D7" s="2">
        <f t="shared" si="0"/>
        <v>194</v>
      </c>
      <c r="E7" s="5">
        <v>182</v>
      </c>
      <c r="F7" s="2">
        <f t="shared" si="1"/>
        <v>12</v>
      </c>
      <c r="G7" s="10">
        <f t="shared" si="2"/>
        <v>0.93814432989690721</v>
      </c>
      <c r="P7" s="11"/>
    </row>
    <row r="8" spans="1:16" x14ac:dyDescent="0.25">
      <c r="A8" s="3">
        <v>46180</v>
      </c>
      <c r="B8" s="2">
        <v>205</v>
      </c>
      <c r="C8" s="6">
        <v>10</v>
      </c>
      <c r="D8" s="2">
        <f t="shared" si="0"/>
        <v>195</v>
      </c>
      <c r="E8" s="5">
        <v>161</v>
      </c>
      <c r="F8" s="2">
        <f t="shared" si="1"/>
        <v>34</v>
      </c>
      <c r="G8" s="10">
        <f t="shared" si="2"/>
        <v>0.82564102564102559</v>
      </c>
      <c r="P8" s="11"/>
    </row>
    <row r="9" spans="1:16" x14ac:dyDescent="0.25">
      <c r="A9" s="3">
        <v>46181</v>
      </c>
      <c r="B9" s="2">
        <v>205</v>
      </c>
      <c r="C9" s="6">
        <v>11</v>
      </c>
      <c r="D9" s="2">
        <f t="shared" si="0"/>
        <v>194</v>
      </c>
      <c r="E9" s="5">
        <v>147</v>
      </c>
      <c r="F9" s="2">
        <f t="shared" si="1"/>
        <v>47</v>
      </c>
      <c r="G9" s="10">
        <f t="shared" si="2"/>
        <v>0.75773195876288657</v>
      </c>
      <c r="P9" s="11"/>
    </row>
    <row r="10" spans="1:16" x14ac:dyDescent="0.25">
      <c r="A10" s="3">
        <v>46182</v>
      </c>
      <c r="B10" s="2">
        <v>205</v>
      </c>
      <c r="C10" s="6">
        <v>10</v>
      </c>
      <c r="D10" s="2">
        <f t="shared" si="0"/>
        <v>195</v>
      </c>
      <c r="E10" s="5">
        <v>158</v>
      </c>
      <c r="F10" s="2">
        <f t="shared" si="1"/>
        <v>37</v>
      </c>
      <c r="G10" s="10">
        <f t="shared" si="2"/>
        <v>0.81025641025641026</v>
      </c>
      <c r="P10" s="11"/>
    </row>
    <row r="11" spans="1:16" x14ac:dyDescent="0.25">
      <c r="A11" s="3">
        <v>46183</v>
      </c>
      <c r="B11" s="2">
        <v>205</v>
      </c>
      <c r="C11" s="6">
        <v>10</v>
      </c>
      <c r="D11" s="2">
        <f t="shared" si="0"/>
        <v>195</v>
      </c>
      <c r="E11" s="5">
        <v>159</v>
      </c>
      <c r="F11" s="2">
        <f t="shared" si="1"/>
        <v>36</v>
      </c>
      <c r="G11" s="10">
        <f t="shared" si="2"/>
        <v>0.81538461538461537</v>
      </c>
      <c r="P11" s="11"/>
    </row>
    <row r="12" spans="1:16" x14ac:dyDescent="0.25">
      <c r="A12" s="3">
        <v>46184</v>
      </c>
      <c r="B12" s="2">
        <v>205</v>
      </c>
      <c r="C12" s="6">
        <v>10</v>
      </c>
      <c r="D12" s="2">
        <f t="shared" si="0"/>
        <v>195</v>
      </c>
      <c r="E12" s="5">
        <v>186</v>
      </c>
      <c r="F12" s="2">
        <f t="shared" si="1"/>
        <v>9</v>
      </c>
      <c r="G12" s="10">
        <f t="shared" si="2"/>
        <v>0.9538461538461539</v>
      </c>
      <c r="P12" s="11"/>
    </row>
    <row r="13" spans="1:16" x14ac:dyDescent="0.25">
      <c r="A13" s="3">
        <v>46185</v>
      </c>
      <c r="B13" s="2">
        <v>205</v>
      </c>
      <c r="C13" s="6">
        <v>10</v>
      </c>
      <c r="D13" s="2">
        <f t="shared" si="0"/>
        <v>195</v>
      </c>
      <c r="E13" s="5">
        <v>191</v>
      </c>
      <c r="F13" s="2">
        <f t="shared" si="1"/>
        <v>4</v>
      </c>
      <c r="G13" s="10">
        <f t="shared" si="2"/>
        <v>0.97948717948717945</v>
      </c>
      <c r="P13" s="11"/>
    </row>
    <row r="14" spans="1:16" x14ac:dyDescent="0.25">
      <c r="A14" s="3">
        <v>46186</v>
      </c>
      <c r="B14" s="2">
        <v>205</v>
      </c>
      <c r="C14" s="6">
        <v>11</v>
      </c>
      <c r="D14" s="2">
        <f t="shared" si="0"/>
        <v>194</v>
      </c>
      <c r="E14" s="5">
        <v>183</v>
      </c>
      <c r="F14" s="2">
        <f t="shared" si="1"/>
        <v>11</v>
      </c>
      <c r="G14" s="10">
        <f t="shared" si="2"/>
        <v>0.94329896907216493</v>
      </c>
      <c r="P14" s="11"/>
    </row>
    <row r="15" spans="1:16" x14ac:dyDescent="0.25">
      <c r="A15" s="3">
        <v>46187</v>
      </c>
      <c r="B15" s="2">
        <v>205</v>
      </c>
      <c r="C15" s="6">
        <v>13</v>
      </c>
      <c r="D15" s="2">
        <f t="shared" si="0"/>
        <v>192</v>
      </c>
      <c r="E15" s="5">
        <v>175</v>
      </c>
      <c r="F15" s="2">
        <f t="shared" si="1"/>
        <v>17</v>
      </c>
      <c r="G15" s="10">
        <f t="shared" si="2"/>
        <v>0.91145833333333337</v>
      </c>
      <c r="P15" s="11"/>
    </row>
    <row r="16" spans="1:16" x14ac:dyDescent="0.25">
      <c r="A16" s="3">
        <v>46188</v>
      </c>
      <c r="B16" s="2">
        <v>205</v>
      </c>
      <c r="C16" s="6">
        <v>12</v>
      </c>
      <c r="D16" s="2">
        <f t="shared" si="0"/>
        <v>193</v>
      </c>
      <c r="E16" s="5">
        <v>170</v>
      </c>
      <c r="F16" s="2">
        <f t="shared" si="1"/>
        <v>23</v>
      </c>
      <c r="G16" s="10">
        <f t="shared" si="2"/>
        <v>0.88082901554404147</v>
      </c>
      <c r="P16" s="11"/>
    </row>
    <row r="17" spans="1:16" x14ac:dyDescent="0.25">
      <c r="A17" s="3">
        <v>46189</v>
      </c>
      <c r="B17" s="2">
        <v>205</v>
      </c>
      <c r="C17" s="6">
        <v>13</v>
      </c>
      <c r="D17" s="2">
        <f t="shared" si="0"/>
        <v>192</v>
      </c>
      <c r="E17" s="5">
        <v>180</v>
      </c>
      <c r="F17" s="2">
        <f t="shared" si="1"/>
        <v>12</v>
      </c>
      <c r="G17" s="10">
        <f t="shared" si="2"/>
        <v>0.9375</v>
      </c>
      <c r="P17" s="11"/>
    </row>
    <row r="18" spans="1:16" x14ac:dyDescent="0.25">
      <c r="A18" s="3">
        <v>46190</v>
      </c>
      <c r="B18" s="2">
        <v>205</v>
      </c>
      <c r="C18" s="6">
        <v>12</v>
      </c>
      <c r="D18" s="2">
        <f t="shared" si="0"/>
        <v>193</v>
      </c>
      <c r="E18" s="5">
        <v>181</v>
      </c>
      <c r="F18" s="2">
        <f t="shared" si="1"/>
        <v>12</v>
      </c>
      <c r="G18" s="10">
        <f t="shared" si="2"/>
        <v>0.93782383419689119</v>
      </c>
      <c r="P18" s="11"/>
    </row>
    <row r="19" spans="1:16" x14ac:dyDescent="0.25">
      <c r="A19" s="3">
        <v>46191</v>
      </c>
      <c r="B19" s="2">
        <v>205</v>
      </c>
      <c r="C19" s="6">
        <v>12</v>
      </c>
      <c r="D19" s="2">
        <f t="shared" si="0"/>
        <v>193</v>
      </c>
      <c r="E19" s="5">
        <v>179</v>
      </c>
      <c r="F19" s="2">
        <f t="shared" si="1"/>
        <v>14</v>
      </c>
      <c r="G19" s="10">
        <f t="shared" si="2"/>
        <v>0.92746113989637302</v>
      </c>
      <c r="P19" s="11"/>
    </row>
    <row r="20" spans="1:16" x14ac:dyDescent="0.25">
      <c r="A20" s="3">
        <v>46192</v>
      </c>
      <c r="B20" s="2">
        <v>205</v>
      </c>
      <c r="C20" s="6">
        <v>11</v>
      </c>
      <c r="D20" s="2">
        <f t="shared" si="0"/>
        <v>194</v>
      </c>
      <c r="E20" s="5">
        <v>192</v>
      </c>
      <c r="F20" s="2">
        <f t="shared" si="1"/>
        <v>2</v>
      </c>
      <c r="G20" s="10">
        <f t="shared" si="2"/>
        <v>0.98969072164948457</v>
      </c>
      <c r="P20" s="11"/>
    </row>
    <row r="21" spans="1:16" x14ac:dyDescent="0.25">
      <c r="A21" s="3">
        <v>46193</v>
      </c>
      <c r="B21" s="2">
        <v>205</v>
      </c>
      <c r="C21" s="6">
        <v>9</v>
      </c>
      <c r="D21" s="2">
        <f t="shared" si="0"/>
        <v>196</v>
      </c>
      <c r="E21" s="5">
        <v>191</v>
      </c>
      <c r="F21" s="2">
        <f t="shared" si="1"/>
        <v>5</v>
      </c>
      <c r="G21" s="10">
        <f t="shared" si="2"/>
        <v>0.97448979591836737</v>
      </c>
      <c r="P21" s="11"/>
    </row>
    <row r="22" spans="1:16" x14ac:dyDescent="0.25">
      <c r="A22" s="3">
        <v>46194</v>
      </c>
      <c r="B22" s="2">
        <v>205</v>
      </c>
      <c r="C22" s="6">
        <v>9</v>
      </c>
      <c r="D22" s="2">
        <f t="shared" si="0"/>
        <v>196</v>
      </c>
      <c r="E22" s="5">
        <v>187</v>
      </c>
      <c r="F22" s="2">
        <f t="shared" si="1"/>
        <v>9</v>
      </c>
      <c r="G22" s="10">
        <f t="shared" si="2"/>
        <v>0.95408163265306123</v>
      </c>
      <c r="P22" s="11"/>
    </row>
    <row r="23" spans="1:16" x14ac:dyDescent="0.25">
      <c r="A23" s="3">
        <v>46195</v>
      </c>
      <c r="B23" s="2">
        <v>205</v>
      </c>
      <c r="C23" s="6">
        <v>10</v>
      </c>
      <c r="D23" s="2">
        <f t="shared" si="0"/>
        <v>195</v>
      </c>
      <c r="E23" s="5">
        <v>186</v>
      </c>
      <c r="F23" s="2">
        <f t="shared" si="1"/>
        <v>9</v>
      </c>
      <c r="G23" s="10">
        <f t="shared" si="2"/>
        <v>0.9538461538461539</v>
      </c>
      <c r="P23" s="11"/>
    </row>
    <row r="24" spans="1:16" x14ac:dyDescent="0.25">
      <c r="A24" s="3">
        <v>46196</v>
      </c>
      <c r="B24" s="2">
        <v>205</v>
      </c>
      <c r="C24" s="6">
        <v>12</v>
      </c>
      <c r="D24" s="2">
        <f t="shared" si="0"/>
        <v>193</v>
      </c>
      <c r="E24" s="5">
        <v>173</v>
      </c>
      <c r="F24" s="2">
        <f t="shared" si="1"/>
        <v>20</v>
      </c>
      <c r="G24" s="10">
        <f t="shared" si="2"/>
        <v>0.89637305699481862</v>
      </c>
      <c r="P24" s="11"/>
    </row>
    <row r="25" spans="1:16" x14ac:dyDescent="0.25">
      <c r="A25" s="3">
        <v>46197</v>
      </c>
      <c r="B25" s="2">
        <v>205</v>
      </c>
      <c r="C25" s="6">
        <v>13</v>
      </c>
      <c r="D25" s="2">
        <f t="shared" si="0"/>
        <v>192</v>
      </c>
      <c r="E25" s="5">
        <v>183</v>
      </c>
      <c r="F25" s="2">
        <f t="shared" si="1"/>
        <v>9</v>
      </c>
      <c r="G25" s="10">
        <f t="shared" si="2"/>
        <v>0.953125</v>
      </c>
      <c r="P25" s="11"/>
    </row>
    <row r="26" spans="1:16" x14ac:dyDescent="0.25">
      <c r="A26" s="3">
        <v>46198</v>
      </c>
      <c r="B26" s="2">
        <v>205</v>
      </c>
      <c r="C26" s="6">
        <v>10</v>
      </c>
      <c r="D26" s="2">
        <f t="shared" si="0"/>
        <v>195</v>
      </c>
      <c r="E26" s="5">
        <v>193</v>
      </c>
      <c r="F26" s="2">
        <f t="shared" si="1"/>
        <v>2</v>
      </c>
      <c r="G26" s="10">
        <f t="shared" si="2"/>
        <v>0.98974358974358978</v>
      </c>
      <c r="P26" s="11"/>
    </row>
    <row r="27" spans="1:16" x14ac:dyDescent="0.25">
      <c r="A27" s="3">
        <v>46199</v>
      </c>
      <c r="B27" s="2">
        <v>205</v>
      </c>
      <c r="C27" s="6">
        <v>10</v>
      </c>
      <c r="D27" s="2">
        <f t="shared" si="0"/>
        <v>195</v>
      </c>
      <c r="E27" s="5">
        <v>184</v>
      </c>
      <c r="F27" s="2">
        <f t="shared" si="1"/>
        <v>11</v>
      </c>
      <c r="G27" s="10">
        <f t="shared" si="2"/>
        <v>0.94358974358974357</v>
      </c>
      <c r="P27" s="11"/>
    </row>
    <row r="28" spans="1:16" x14ac:dyDescent="0.25">
      <c r="A28" s="3">
        <v>46200</v>
      </c>
      <c r="B28" s="2">
        <v>205</v>
      </c>
      <c r="C28" s="6">
        <v>11</v>
      </c>
      <c r="D28" s="2">
        <f t="shared" si="0"/>
        <v>194</v>
      </c>
      <c r="E28" s="5">
        <v>190</v>
      </c>
      <c r="F28" s="2">
        <f t="shared" si="1"/>
        <v>4</v>
      </c>
      <c r="G28" s="10">
        <f t="shared" si="2"/>
        <v>0.97938144329896903</v>
      </c>
      <c r="P28" s="11"/>
    </row>
    <row r="29" spans="1:16" x14ac:dyDescent="0.25">
      <c r="A29" s="3">
        <v>46201</v>
      </c>
      <c r="B29" s="2">
        <v>205</v>
      </c>
      <c r="C29" s="6">
        <v>11</v>
      </c>
      <c r="D29" s="2">
        <f t="shared" si="0"/>
        <v>194</v>
      </c>
      <c r="E29" s="5">
        <v>162</v>
      </c>
      <c r="F29" s="2">
        <f t="shared" si="1"/>
        <v>32</v>
      </c>
      <c r="G29" s="10">
        <f t="shared" si="2"/>
        <v>0.83505154639175261</v>
      </c>
      <c r="P29" s="11"/>
    </row>
    <row r="30" spans="1:16" x14ac:dyDescent="0.25">
      <c r="A30" s="3">
        <v>46202</v>
      </c>
      <c r="B30" s="2">
        <v>205</v>
      </c>
      <c r="C30" s="6">
        <v>11</v>
      </c>
      <c r="D30" s="2">
        <f t="shared" si="0"/>
        <v>194</v>
      </c>
      <c r="E30" s="5">
        <v>150</v>
      </c>
      <c r="F30" s="2">
        <f t="shared" si="1"/>
        <v>44</v>
      </c>
      <c r="G30" s="10">
        <f t="shared" si="2"/>
        <v>0.77319587628865982</v>
      </c>
      <c r="P30" s="11"/>
    </row>
    <row r="31" spans="1:16" x14ac:dyDescent="0.25">
      <c r="A31" s="3">
        <v>46203</v>
      </c>
      <c r="B31" s="2">
        <v>205</v>
      </c>
      <c r="C31" s="6">
        <v>14</v>
      </c>
      <c r="D31" s="2">
        <f t="shared" si="0"/>
        <v>191</v>
      </c>
      <c r="E31" s="5">
        <v>150</v>
      </c>
      <c r="F31" s="2">
        <f t="shared" si="1"/>
        <v>41</v>
      </c>
      <c r="G31" s="10">
        <f t="shared" si="2"/>
        <v>0.78534031413612571</v>
      </c>
      <c r="P31" s="11"/>
    </row>
    <row r="32" spans="1:16" x14ac:dyDescent="0.25">
      <c r="C32" s="12">
        <f>SUM(C2:C31)</f>
        <v>348</v>
      </c>
      <c r="E32" s="13">
        <f>SUM(E2:E31)</f>
        <v>5078</v>
      </c>
    </row>
  </sheetData>
  <conditionalFormatting sqref="P2:P3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8002-22CF-4D9E-84FF-5575802F362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09AC-ED23-4B47-80D5-2841AF840051}">
  <dimension ref="A1:P34"/>
  <sheetViews>
    <sheetView showGridLines="0" tabSelected="1" zoomScaleNormal="100" workbookViewId="0">
      <selection activeCell="L11" sqref="L11"/>
    </sheetView>
  </sheetViews>
  <sheetFormatPr defaultRowHeight="15" x14ac:dyDescent="0.25"/>
  <cols>
    <col min="1" max="5" width="15.7109375" customWidth="1"/>
    <col min="6" max="6" width="19.140625" bestFit="1" customWidth="1"/>
    <col min="7" max="16" width="15.7109375" customWidth="1"/>
  </cols>
  <sheetData>
    <row r="1" spans="1:16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16" x14ac:dyDescent="0.25">
      <c r="A2" s="3">
        <v>46204</v>
      </c>
      <c r="B2" s="2">
        <v>205</v>
      </c>
      <c r="C2" s="6">
        <v>12</v>
      </c>
      <c r="D2" s="2">
        <f t="shared" ref="D2:D32" si="0">B2-C2</f>
        <v>193</v>
      </c>
      <c r="E2" s="5">
        <v>149</v>
      </c>
      <c r="F2" s="2">
        <f>D2-E2</f>
        <v>44</v>
      </c>
      <c r="G2" s="10">
        <f>E2/D2</f>
        <v>0.772020725388601</v>
      </c>
      <c r="I2" s="14"/>
      <c r="P2" s="11"/>
    </row>
    <row r="3" spans="1:16" x14ac:dyDescent="0.25">
      <c r="A3" s="3">
        <v>46205</v>
      </c>
      <c r="B3" s="2">
        <v>205</v>
      </c>
      <c r="C3" s="6">
        <v>13</v>
      </c>
      <c r="D3" s="2">
        <f t="shared" si="0"/>
        <v>192</v>
      </c>
      <c r="E3" s="5">
        <v>141</v>
      </c>
      <c r="F3" s="2">
        <f t="shared" ref="F3:F32" si="1">D3-E3</f>
        <v>51</v>
      </c>
      <c r="G3" s="10">
        <f t="shared" ref="G3:G32" si="2">E3/D3</f>
        <v>0.734375</v>
      </c>
      <c r="I3" s="14"/>
      <c r="P3" s="11"/>
    </row>
    <row r="4" spans="1:16" x14ac:dyDescent="0.25">
      <c r="A4" s="3">
        <v>46206</v>
      </c>
      <c r="B4" s="2">
        <v>205</v>
      </c>
      <c r="C4" s="6">
        <v>12</v>
      </c>
      <c r="D4" s="2">
        <f t="shared" si="0"/>
        <v>193</v>
      </c>
      <c r="E4" s="5">
        <v>154</v>
      </c>
      <c r="F4" s="2">
        <f t="shared" si="1"/>
        <v>39</v>
      </c>
      <c r="G4" s="10">
        <f t="shared" si="2"/>
        <v>0.79792746113989632</v>
      </c>
      <c r="I4" s="14"/>
      <c r="P4" s="11"/>
    </row>
    <row r="5" spans="1:16" x14ac:dyDescent="0.25">
      <c r="A5" s="3">
        <v>46207</v>
      </c>
      <c r="B5" s="2">
        <v>205</v>
      </c>
      <c r="C5" s="6">
        <v>16</v>
      </c>
      <c r="D5" s="2">
        <f t="shared" si="0"/>
        <v>189</v>
      </c>
      <c r="E5" s="5">
        <v>134</v>
      </c>
      <c r="F5" s="2">
        <f t="shared" si="1"/>
        <v>55</v>
      </c>
      <c r="G5" s="10">
        <f t="shared" si="2"/>
        <v>0.70899470899470896</v>
      </c>
      <c r="I5" s="14"/>
      <c r="P5" s="11"/>
    </row>
    <row r="6" spans="1:16" x14ac:dyDescent="0.25">
      <c r="A6" s="3">
        <v>46208</v>
      </c>
      <c r="B6" s="2">
        <v>205</v>
      </c>
      <c r="C6" s="6">
        <v>16</v>
      </c>
      <c r="D6" s="2">
        <f t="shared" si="0"/>
        <v>189</v>
      </c>
      <c r="E6" s="5">
        <v>149</v>
      </c>
      <c r="F6" s="2">
        <f t="shared" si="1"/>
        <v>40</v>
      </c>
      <c r="G6" s="10">
        <f t="shared" si="2"/>
        <v>0.78835978835978837</v>
      </c>
      <c r="I6" s="14"/>
      <c r="P6" s="11"/>
    </row>
    <row r="7" spans="1:16" x14ac:dyDescent="0.25">
      <c r="A7" s="3">
        <v>46209</v>
      </c>
      <c r="B7" s="2">
        <v>205</v>
      </c>
      <c r="C7" s="6">
        <v>15</v>
      </c>
      <c r="D7" s="2">
        <f t="shared" si="0"/>
        <v>190</v>
      </c>
      <c r="E7" s="5">
        <v>150</v>
      </c>
      <c r="F7" s="2">
        <f t="shared" si="1"/>
        <v>40</v>
      </c>
      <c r="G7" s="10">
        <f t="shared" si="2"/>
        <v>0.78947368421052633</v>
      </c>
      <c r="I7" s="14"/>
      <c r="P7" s="11"/>
    </row>
    <row r="8" spans="1:16" x14ac:dyDescent="0.25">
      <c r="A8" s="3">
        <v>46210</v>
      </c>
      <c r="B8" s="2">
        <v>205</v>
      </c>
      <c r="C8" s="6">
        <v>14</v>
      </c>
      <c r="D8" s="2">
        <f t="shared" si="0"/>
        <v>191</v>
      </c>
      <c r="E8" s="5">
        <v>161</v>
      </c>
      <c r="F8" s="2">
        <f t="shared" si="1"/>
        <v>30</v>
      </c>
      <c r="G8" s="10">
        <f t="shared" si="2"/>
        <v>0.84293193717277481</v>
      </c>
      <c r="I8" s="14"/>
      <c r="P8" s="11"/>
    </row>
    <row r="9" spans="1:16" x14ac:dyDescent="0.25">
      <c r="A9" s="3">
        <v>46211</v>
      </c>
      <c r="B9" s="2">
        <v>205</v>
      </c>
      <c r="C9" s="6">
        <v>14</v>
      </c>
      <c r="D9" s="2">
        <f t="shared" si="0"/>
        <v>191</v>
      </c>
      <c r="E9" s="5">
        <v>171</v>
      </c>
      <c r="F9" s="2">
        <f t="shared" si="1"/>
        <v>20</v>
      </c>
      <c r="G9" s="10">
        <f t="shared" si="2"/>
        <v>0.89528795811518325</v>
      </c>
      <c r="I9" s="14"/>
      <c r="P9" s="11"/>
    </row>
    <row r="10" spans="1:16" x14ac:dyDescent="0.25">
      <c r="A10" s="3">
        <v>46212</v>
      </c>
      <c r="B10" s="2">
        <v>205</v>
      </c>
      <c r="C10" s="6">
        <v>10</v>
      </c>
      <c r="D10" s="2">
        <f t="shared" si="0"/>
        <v>195</v>
      </c>
      <c r="E10" s="5">
        <v>188</v>
      </c>
      <c r="F10" s="2">
        <f t="shared" si="1"/>
        <v>7</v>
      </c>
      <c r="G10" s="10">
        <f t="shared" si="2"/>
        <v>0.96410256410256412</v>
      </c>
      <c r="I10" s="14"/>
      <c r="P10" s="11"/>
    </row>
    <row r="11" spans="1:16" x14ac:dyDescent="0.25">
      <c r="A11" s="3">
        <v>46213</v>
      </c>
      <c r="B11" s="2">
        <v>205</v>
      </c>
      <c r="C11" s="6">
        <v>11</v>
      </c>
      <c r="D11" s="2">
        <f t="shared" si="0"/>
        <v>194</v>
      </c>
      <c r="E11" s="5">
        <v>196</v>
      </c>
      <c r="F11" s="2">
        <f t="shared" si="1"/>
        <v>-2</v>
      </c>
      <c r="G11" s="10">
        <f t="shared" si="2"/>
        <v>1.0103092783505154</v>
      </c>
      <c r="I11" s="14"/>
      <c r="P11" s="11"/>
    </row>
    <row r="12" spans="1:16" x14ac:dyDescent="0.25">
      <c r="A12" s="3">
        <v>46214</v>
      </c>
      <c r="B12" s="2">
        <v>205</v>
      </c>
      <c r="C12" s="6">
        <v>7</v>
      </c>
      <c r="D12" s="2">
        <f t="shared" si="0"/>
        <v>198</v>
      </c>
      <c r="E12" s="5">
        <v>189</v>
      </c>
      <c r="F12" s="2">
        <f t="shared" si="1"/>
        <v>9</v>
      </c>
      <c r="G12" s="10">
        <f t="shared" si="2"/>
        <v>0.95454545454545459</v>
      </c>
      <c r="I12" s="14"/>
      <c r="P12" s="11"/>
    </row>
    <row r="13" spans="1:16" x14ac:dyDescent="0.25">
      <c r="A13" s="3">
        <v>46215</v>
      </c>
      <c r="B13" s="2">
        <v>205</v>
      </c>
      <c r="C13" s="6">
        <v>5</v>
      </c>
      <c r="D13" s="2">
        <f t="shared" si="0"/>
        <v>200</v>
      </c>
      <c r="E13" s="5">
        <v>197</v>
      </c>
      <c r="F13" s="2">
        <f t="shared" si="1"/>
        <v>3</v>
      </c>
      <c r="G13" s="10">
        <f t="shared" si="2"/>
        <v>0.98499999999999999</v>
      </c>
      <c r="I13" s="14"/>
      <c r="P13" s="11"/>
    </row>
    <row r="14" spans="1:16" x14ac:dyDescent="0.25">
      <c r="A14" s="3">
        <v>46216</v>
      </c>
      <c r="B14" s="2">
        <v>205</v>
      </c>
      <c r="C14" s="6">
        <v>5</v>
      </c>
      <c r="D14" s="2">
        <f t="shared" si="0"/>
        <v>200</v>
      </c>
      <c r="E14" s="5">
        <v>199</v>
      </c>
      <c r="F14" s="2">
        <f t="shared" si="1"/>
        <v>1</v>
      </c>
      <c r="G14" s="10">
        <f t="shared" si="2"/>
        <v>0.995</v>
      </c>
      <c r="I14" s="14"/>
      <c r="P14" s="11"/>
    </row>
    <row r="15" spans="1:16" x14ac:dyDescent="0.25">
      <c r="A15" s="3">
        <v>46217</v>
      </c>
      <c r="B15" s="2">
        <v>205</v>
      </c>
      <c r="C15" s="6">
        <v>4</v>
      </c>
      <c r="D15" s="2">
        <f t="shared" si="0"/>
        <v>201</v>
      </c>
      <c r="E15" s="5">
        <v>188</v>
      </c>
      <c r="F15" s="2">
        <f t="shared" si="1"/>
        <v>13</v>
      </c>
      <c r="G15" s="10">
        <f t="shared" si="2"/>
        <v>0.93532338308457708</v>
      </c>
      <c r="I15" s="14"/>
      <c r="P15" s="11"/>
    </row>
    <row r="16" spans="1:16" x14ac:dyDescent="0.25">
      <c r="A16" s="3">
        <v>46218</v>
      </c>
      <c r="B16" s="2">
        <v>205</v>
      </c>
      <c r="C16" s="6">
        <v>4</v>
      </c>
      <c r="D16" s="2">
        <f t="shared" si="0"/>
        <v>201</v>
      </c>
      <c r="E16" s="5">
        <v>194</v>
      </c>
      <c r="F16" s="2">
        <f t="shared" si="1"/>
        <v>7</v>
      </c>
      <c r="G16" s="10">
        <f t="shared" si="2"/>
        <v>0.96517412935323388</v>
      </c>
      <c r="I16" s="14"/>
      <c r="P16" s="11"/>
    </row>
    <row r="17" spans="1:16" x14ac:dyDescent="0.25">
      <c r="A17" s="3">
        <v>46219</v>
      </c>
      <c r="B17" s="2">
        <v>205</v>
      </c>
      <c r="C17" s="6">
        <v>1</v>
      </c>
      <c r="D17" s="2">
        <f t="shared" si="0"/>
        <v>204</v>
      </c>
      <c r="E17" s="5">
        <v>202</v>
      </c>
      <c r="F17" s="2">
        <f t="shared" si="1"/>
        <v>2</v>
      </c>
      <c r="G17" s="10">
        <f t="shared" si="2"/>
        <v>0.99019607843137258</v>
      </c>
      <c r="I17" s="14"/>
      <c r="P17" s="11"/>
    </row>
    <row r="18" spans="1:16" x14ac:dyDescent="0.25">
      <c r="A18" s="3">
        <v>46220</v>
      </c>
      <c r="B18" s="2">
        <v>205</v>
      </c>
      <c r="C18" s="6">
        <v>2</v>
      </c>
      <c r="D18" s="2">
        <f t="shared" si="0"/>
        <v>203</v>
      </c>
      <c r="E18" s="5">
        <v>202</v>
      </c>
      <c r="F18" s="2">
        <f t="shared" si="1"/>
        <v>1</v>
      </c>
      <c r="G18" s="10">
        <f t="shared" si="2"/>
        <v>0.99507389162561577</v>
      </c>
      <c r="I18" s="14"/>
      <c r="P18" s="11"/>
    </row>
    <row r="19" spans="1:16" x14ac:dyDescent="0.25">
      <c r="A19" s="3">
        <v>46221</v>
      </c>
      <c r="B19" s="2">
        <v>205</v>
      </c>
      <c r="C19" s="6">
        <v>0</v>
      </c>
      <c r="D19" s="2">
        <f t="shared" si="0"/>
        <v>205</v>
      </c>
      <c r="E19" s="5">
        <v>203</v>
      </c>
      <c r="F19" s="2">
        <f t="shared" si="1"/>
        <v>2</v>
      </c>
      <c r="G19" s="10">
        <f t="shared" si="2"/>
        <v>0.99024390243902438</v>
      </c>
      <c r="I19" s="14"/>
      <c r="P19" s="11"/>
    </row>
    <row r="20" spans="1:16" x14ac:dyDescent="0.25">
      <c r="A20" s="3">
        <v>46222</v>
      </c>
      <c r="B20" s="2">
        <v>205</v>
      </c>
      <c r="C20" s="6">
        <v>0</v>
      </c>
      <c r="D20" s="2">
        <f t="shared" si="0"/>
        <v>205</v>
      </c>
      <c r="E20" s="5">
        <v>203</v>
      </c>
      <c r="F20" s="2">
        <f t="shared" si="1"/>
        <v>2</v>
      </c>
      <c r="G20" s="10">
        <f t="shared" si="2"/>
        <v>0.99024390243902438</v>
      </c>
      <c r="I20" s="14"/>
      <c r="P20" s="11"/>
    </row>
    <row r="21" spans="1:16" x14ac:dyDescent="0.25">
      <c r="A21" s="3">
        <v>46223</v>
      </c>
      <c r="B21" s="2">
        <v>205</v>
      </c>
      <c r="C21" s="6">
        <v>2</v>
      </c>
      <c r="D21" s="2">
        <f t="shared" si="0"/>
        <v>203</v>
      </c>
      <c r="E21" s="5">
        <v>189</v>
      </c>
      <c r="F21" s="2">
        <f t="shared" si="1"/>
        <v>14</v>
      </c>
      <c r="G21" s="10">
        <f t="shared" si="2"/>
        <v>0.93103448275862066</v>
      </c>
      <c r="I21" s="14"/>
      <c r="P21" s="11"/>
    </row>
    <row r="22" spans="1:16" x14ac:dyDescent="0.25">
      <c r="A22" s="3">
        <v>46224</v>
      </c>
      <c r="B22" s="2">
        <v>205</v>
      </c>
      <c r="C22" s="6">
        <v>2</v>
      </c>
      <c r="D22" s="2">
        <f t="shared" si="0"/>
        <v>203</v>
      </c>
      <c r="E22" s="5">
        <v>197</v>
      </c>
      <c r="F22" s="2">
        <f t="shared" si="1"/>
        <v>6</v>
      </c>
      <c r="G22" s="10">
        <f t="shared" si="2"/>
        <v>0.97044334975369462</v>
      </c>
      <c r="I22" s="14"/>
      <c r="P22" s="11"/>
    </row>
    <row r="23" spans="1:16" x14ac:dyDescent="0.25">
      <c r="A23" s="3">
        <v>46225</v>
      </c>
      <c r="B23" s="2">
        <v>205</v>
      </c>
      <c r="C23" s="6">
        <v>0</v>
      </c>
      <c r="D23" s="2">
        <f t="shared" si="0"/>
        <v>205</v>
      </c>
      <c r="E23" s="5">
        <v>202</v>
      </c>
      <c r="F23" s="2">
        <f t="shared" si="1"/>
        <v>3</v>
      </c>
      <c r="G23" s="10">
        <f t="shared" si="2"/>
        <v>0.98536585365853657</v>
      </c>
      <c r="I23" s="14"/>
      <c r="P23" s="11"/>
    </row>
    <row r="24" spans="1:16" x14ac:dyDescent="0.25">
      <c r="A24" s="3">
        <v>46226</v>
      </c>
      <c r="B24" s="2">
        <v>205</v>
      </c>
      <c r="C24" s="6">
        <v>0</v>
      </c>
      <c r="D24" s="2">
        <f t="shared" si="0"/>
        <v>205</v>
      </c>
      <c r="E24" s="5">
        <v>198</v>
      </c>
      <c r="F24" s="2">
        <f t="shared" si="1"/>
        <v>7</v>
      </c>
      <c r="G24" s="10">
        <f t="shared" si="2"/>
        <v>0.96585365853658534</v>
      </c>
      <c r="I24" s="14"/>
      <c r="P24" s="11"/>
    </row>
    <row r="25" spans="1:16" x14ac:dyDescent="0.25">
      <c r="A25" s="3">
        <v>46227</v>
      </c>
      <c r="B25" s="2">
        <v>205</v>
      </c>
      <c r="C25" s="6">
        <v>0</v>
      </c>
      <c r="D25" s="2">
        <f t="shared" si="0"/>
        <v>205</v>
      </c>
      <c r="E25" s="5">
        <v>203</v>
      </c>
      <c r="F25" s="2">
        <f t="shared" si="1"/>
        <v>2</v>
      </c>
      <c r="G25" s="10">
        <f t="shared" si="2"/>
        <v>0.99024390243902438</v>
      </c>
      <c r="I25" s="14"/>
      <c r="P25" s="11"/>
    </row>
    <row r="26" spans="1:16" x14ac:dyDescent="0.25">
      <c r="A26" s="3">
        <v>46228</v>
      </c>
      <c r="B26" s="2">
        <v>205</v>
      </c>
      <c r="C26" s="6">
        <v>0</v>
      </c>
      <c r="D26" s="2">
        <f t="shared" si="0"/>
        <v>205</v>
      </c>
      <c r="E26" s="5">
        <v>196</v>
      </c>
      <c r="F26" s="2">
        <f t="shared" si="1"/>
        <v>9</v>
      </c>
      <c r="G26" s="10">
        <f t="shared" si="2"/>
        <v>0.95609756097560972</v>
      </c>
      <c r="I26" s="14"/>
      <c r="P26" s="11"/>
    </row>
    <row r="27" spans="1:16" x14ac:dyDescent="0.25">
      <c r="A27" s="3">
        <v>46229</v>
      </c>
      <c r="B27" s="2">
        <v>205</v>
      </c>
      <c r="C27" s="6">
        <v>0</v>
      </c>
      <c r="D27" s="2">
        <f t="shared" si="0"/>
        <v>205</v>
      </c>
      <c r="E27" s="5">
        <v>201</v>
      </c>
      <c r="F27" s="2">
        <f t="shared" si="1"/>
        <v>4</v>
      </c>
      <c r="G27" s="10">
        <f t="shared" si="2"/>
        <v>0.98048780487804876</v>
      </c>
      <c r="I27" s="14"/>
      <c r="P27" s="11"/>
    </row>
    <row r="28" spans="1:16" x14ac:dyDescent="0.25">
      <c r="A28" s="3">
        <v>46230</v>
      </c>
      <c r="B28" s="2">
        <v>205</v>
      </c>
      <c r="C28" s="6">
        <v>0</v>
      </c>
      <c r="D28" s="2">
        <f t="shared" si="0"/>
        <v>205</v>
      </c>
      <c r="E28" s="5">
        <v>197</v>
      </c>
      <c r="F28" s="2">
        <f t="shared" si="1"/>
        <v>8</v>
      </c>
      <c r="G28" s="10">
        <f t="shared" si="2"/>
        <v>0.96097560975609753</v>
      </c>
      <c r="I28" s="14"/>
      <c r="P28" s="11"/>
    </row>
    <row r="29" spans="1:16" x14ac:dyDescent="0.25">
      <c r="A29" s="3">
        <v>46231</v>
      </c>
      <c r="B29" s="2">
        <v>205</v>
      </c>
      <c r="C29" s="6">
        <v>0</v>
      </c>
      <c r="D29" s="2">
        <f t="shared" si="0"/>
        <v>205</v>
      </c>
      <c r="E29" s="5">
        <v>197</v>
      </c>
      <c r="F29" s="2">
        <f t="shared" si="1"/>
        <v>8</v>
      </c>
      <c r="G29" s="10">
        <f t="shared" si="2"/>
        <v>0.96097560975609753</v>
      </c>
      <c r="I29" s="14"/>
      <c r="P29" s="11"/>
    </row>
    <row r="30" spans="1:16" x14ac:dyDescent="0.25">
      <c r="A30" s="3">
        <v>46232</v>
      </c>
      <c r="B30" s="2">
        <v>205</v>
      </c>
      <c r="C30" s="6">
        <v>0</v>
      </c>
      <c r="D30" s="2">
        <f t="shared" si="0"/>
        <v>205</v>
      </c>
      <c r="E30" s="5">
        <v>189</v>
      </c>
      <c r="F30" s="2">
        <f t="shared" si="1"/>
        <v>16</v>
      </c>
      <c r="G30" s="10">
        <f t="shared" si="2"/>
        <v>0.92195121951219516</v>
      </c>
      <c r="I30" s="14"/>
      <c r="P30" s="11"/>
    </row>
    <row r="31" spans="1:16" x14ac:dyDescent="0.25">
      <c r="A31" s="3">
        <v>46233</v>
      </c>
      <c r="B31" s="2">
        <v>205</v>
      </c>
      <c r="C31" s="6">
        <v>0</v>
      </c>
      <c r="D31" s="2">
        <f t="shared" si="0"/>
        <v>205</v>
      </c>
      <c r="E31" s="5">
        <v>189</v>
      </c>
      <c r="F31" s="2">
        <f t="shared" si="1"/>
        <v>16</v>
      </c>
      <c r="G31" s="10">
        <f t="shared" si="2"/>
        <v>0.92195121951219516</v>
      </c>
      <c r="I31" s="14"/>
      <c r="P31" s="11"/>
    </row>
    <row r="32" spans="1:16" x14ac:dyDescent="0.25">
      <c r="A32" s="3">
        <v>46234</v>
      </c>
      <c r="B32" s="2">
        <v>205</v>
      </c>
      <c r="C32" s="6">
        <v>0</v>
      </c>
      <c r="D32" s="2">
        <f t="shared" si="0"/>
        <v>205</v>
      </c>
      <c r="E32" s="5">
        <v>181</v>
      </c>
      <c r="F32" s="2">
        <f t="shared" si="1"/>
        <v>24</v>
      </c>
      <c r="G32" s="10">
        <f t="shared" si="2"/>
        <v>0.88292682926829269</v>
      </c>
      <c r="I32" s="14"/>
      <c r="P32" s="11"/>
    </row>
    <row r="33" spans="3:5" x14ac:dyDescent="0.25">
      <c r="C33" s="12">
        <f>SUM(C2:C32)</f>
        <v>165</v>
      </c>
      <c r="E33" s="13">
        <f>SUM(E2:E32)</f>
        <v>5709</v>
      </c>
    </row>
    <row r="34" spans="3:5" x14ac:dyDescent="0.25">
      <c r="D34" t="s">
        <v>12</v>
      </c>
    </row>
  </sheetData>
  <conditionalFormatting sqref="P2:P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C4D32-B5D2-45D3-931A-4E60D9CF3ED9}">
  <dimension ref="A1:P34"/>
  <sheetViews>
    <sheetView showGridLines="0" workbookViewId="0">
      <selection activeCell="J14" sqref="J14"/>
    </sheetView>
  </sheetViews>
  <sheetFormatPr defaultRowHeight="15" x14ac:dyDescent="0.25"/>
  <cols>
    <col min="1" max="5" width="15.7109375" customWidth="1"/>
    <col min="6" max="6" width="19.140625" bestFit="1" customWidth="1"/>
    <col min="7" max="16" width="15.7109375" customWidth="1"/>
  </cols>
  <sheetData>
    <row r="1" spans="1:16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16" x14ac:dyDescent="0.25">
      <c r="A2" s="3">
        <v>46235</v>
      </c>
      <c r="B2" s="2">
        <v>205</v>
      </c>
      <c r="C2" s="6">
        <v>1</v>
      </c>
      <c r="D2" s="2">
        <f t="shared" ref="D2:D32" si="0">B2-C2</f>
        <v>204</v>
      </c>
      <c r="E2" s="5">
        <v>189</v>
      </c>
      <c r="F2" s="2">
        <f>D2-E2</f>
        <v>15</v>
      </c>
      <c r="G2" s="10">
        <f>E2/D2</f>
        <v>0.92647058823529416</v>
      </c>
      <c r="I2" s="14"/>
      <c r="P2" s="11"/>
    </row>
    <row r="3" spans="1:16" x14ac:dyDescent="0.25">
      <c r="A3" s="3">
        <v>46236</v>
      </c>
      <c r="B3" s="2">
        <v>205</v>
      </c>
      <c r="C3" s="6">
        <v>1</v>
      </c>
      <c r="D3" s="2">
        <f t="shared" si="0"/>
        <v>204</v>
      </c>
      <c r="E3" s="5">
        <v>166</v>
      </c>
      <c r="F3" s="2">
        <f t="shared" ref="F3:F32" si="1">D3-E3</f>
        <v>38</v>
      </c>
      <c r="G3" s="10">
        <f t="shared" ref="G3:G32" si="2">E3/D3</f>
        <v>0.81372549019607843</v>
      </c>
      <c r="I3" s="14"/>
      <c r="P3" s="11"/>
    </row>
    <row r="4" spans="1:16" x14ac:dyDescent="0.25">
      <c r="A4" s="3">
        <v>46237</v>
      </c>
      <c r="B4" s="2">
        <v>205</v>
      </c>
      <c r="C4" s="6">
        <v>1</v>
      </c>
      <c r="D4" s="2">
        <f t="shared" si="0"/>
        <v>204</v>
      </c>
      <c r="E4" s="5">
        <v>157</v>
      </c>
      <c r="F4" s="2">
        <f t="shared" si="1"/>
        <v>47</v>
      </c>
      <c r="G4" s="10">
        <f t="shared" si="2"/>
        <v>0.76960784313725494</v>
      </c>
      <c r="I4" s="14"/>
      <c r="P4" s="11"/>
    </row>
    <row r="5" spans="1:16" x14ac:dyDescent="0.25">
      <c r="A5" s="3">
        <v>46238</v>
      </c>
      <c r="B5" s="2">
        <v>205</v>
      </c>
      <c r="C5" s="6">
        <v>1</v>
      </c>
      <c r="D5" s="2">
        <f t="shared" si="0"/>
        <v>204</v>
      </c>
      <c r="E5" s="5">
        <v>162</v>
      </c>
      <c r="F5" s="2">
        <f t="shared" si="1"/>
        <v>42</v>
      </c>
      <c r="G5" s="10">
        <f t="shared" si="2"/>
        <v>0.79411764705882348</v>
      </c>
      <c r="I5" s="14"/>
      <c r="P5" s="11"/>
    </row>
    <row r="6" spans="1:16" x14ac:dyDescent="0.25">
      <c r="A6" s="3">
        <v>46239</v>
      </c>
      <c r="B6" s="2">
        <v>205</v>
      </c>
      <c r="C6" s="6">
        <v>1</v>
      </c>
      <c r="D6" s="2">
        <f t="shared" si="0"/>
        <v>204</v>
      </c>
      <c r="E6" s="5">
        <v>166</v>
      </c>
      <c r="F6" s="2">
        <f t="shared" si="1"/>
        <v>38</v>
      </c>
      <c r="G6" s="10">
        <f t="shared" si="2"/>
        <v>0.81372549019607843</v>
      </c>
      <c r="I6" s="14"/>
      <c r="P6" s="11"/>
    </row>
    <row r="7" spans="1:16" x14ac:dyDescent="0.25">
      <c r="A7" s="3">
        <v>46240</v>
      </c>
      <c r="B7" s="2">
        <v>205</v>
      </c>
      <c r="C7" s="6">
        <v>1</v>
      </c>
      <c r="D7" s="2">
        <f t="shared" si="0"/>
        <v>204</v>
      </c>
      <c r="E7" s="5">
        <v>161</v>
      </c>
      <c r="F7" s="2">
        <f t="shared" si="1"/>
        <v>43</v>
      </c>
      <c r="G7" s="10">
        <f t="shared" si="2"/>
        <v>0.78921568627450978</v>
      </c>
      <c r="I7" s="14"/>
      <c r="P7" s="11"/>
    </row>
    <row r="8" spans="1:16" x14ac:dyDescent="0.25">
      <c r="A8" s="3">
        <v>46241</v>
      </c>
      <c r="B8" s="2">
        <v>205</v>
      </c>
      <c r="C8" s="6">
        <v>1</v>
      </c>
      <c r="D8" s="2">
        <f t="shared" si="0"/>
        <v>204</v>
      </c>
      <c r="E8" s="5">
        <v>165</v>
      </c>
      <c r="F8" s="2">
        <f t="shared" si="1"/>
        <v>39</v>
      </c>
      <c r="G8" s="10">
        <f t="shared" si="2"/>
        <v>0.80882352941176472</v>
      </c>
      <c r="I8" s="14"/>
      <c r="P8" s="11"/>
    </row>
    <row r="9" spans="1:16" x14ac:dyDescent="0.25">
      <c r="A9" s="3">
        <v>46242</v>
      </c>
      <c r="B9" s="2">
        <v>205</v>
      </c>
      <c r="C9" s="6">
        <v>1</v>
      </c>
      <c r="D9" s="2">
        <f t="shared" si="0"/>
        <v>204</v>
      </c>
      <c r="E9" s="5">
        <v>173</v>
      </c>
      <c r="F9" s="2">
        <f t="shared" si="1"/>
        <v>31</v>
      </c>
      <c r="G9" s="10">
        <f t="shared" si="2"/>
        <v>0.84803921568627449</v>
      </c>
      <c r="I9" s="14"/>
      <c r="P9" s="11"/>
    </row>
    <row r="10" spans="1:16" x14ac:dyDescent="0.25">
      <c r="A10" s="3">
        <v>46243</v>
      </c>
      <c r="B10" s="2">
        <v>205</v>
      </c>
      <c r="C10" s="6">
        <v>1</v>
      </c>
      <c r="D10" s="2">
        <f t="shared" si="0"/>
        <v>204</v>
      </c>
      <c r="E10" s="5">
        <v>168</v>
      </c>
      <c r="F10" s="2">
        <f t="shared" si="1"/>
        <v>36</v>
      </c>
      <c r="G10" s="10">
        <f t="shared" si="2"/>
        <v>0.82352941176470584</v>
      </c>
      <c r="I10" s="14"/>
      <c r="P10" s="11"/>
    </row>
    <row r="11" spans="1:16" x14ac:dyDescent="0.25">
      <c r="A11" s="3">
        <v>46244</v>
      </c>
      <c r="B11" s="2">
        <v>205</v>
      </c>
      <c r="C11" s="6">
        <v>1</v>
      </c>
      <c r="D11" s="2">
        <f t="shared" si="0"/>
        <v>204</v>
      </c>
      <c r="E11" s="5">
        <v>167</v>
      </c>
      <c r="F11" s="2">
        <f t="shared" si="1"/>
        <v>37</v>
      </c>
      <c r="G11" s="10">
        <f t="shared" si="2"/>
        <v>0.81862745098039214</v>
      </c>
      <c r="I11" s="14"/>
      <c r="P11" s="11"/>
    </row>
    <row r="12" spans="1:16" x14ac:dyDescent="0.25">
      <c r="A12" s="3">
        <v>46245</v>
      </c>
      <c r="B12" s="2">
        <v>205</v>
      </c>
      <c r="C12" s="6">
        <v>1</v>
      </c>
      <c r="D12" s="2">
        <f t="shared" si="0"/>
        <v>204</v>
      </c>
      <c r="E12" s="5">
        <v>153</v>
      </c>
      <c r="F12" s="2">
        <f t="shared" si="1"/>
        <v>51</v>
      </c>
      <c r="G12" s="10">
        <f t="shared" si="2"/>
        <v>0.75</v>
      </c>
      <c r="I12" s="14"/>
      <c r="P12" s="11"/>
    </row>
    <row r="13" spans="1:16" x14ac:dyDescent="0.25">
      <c r="A13" s="3">
        <v>46246</v>
      </c>
      <c r="B13" s="2">
        <v>205</v>
      </c>
      <c r="C13" s="6">
        <v>1</v>
      </c>
      <c r="D13" s="2">
        <f t="shared" si="0"/>
        <v>204</v>
      </c>
      <c r="E13" s="5">
        <v>154</v>
      </c>
      <c r="F13" s="2">
        <f t="shared" si="1"/>
        <v>50</v>
      </c>
      <c r="G13" s="10">
        <f t="shared" si="2"/>
        <v>0.75490196078431371</v>
      </c>
      <c r="I13" s="14"/>
      <c r="P13" s="11"/>
    </row>
    <row r="14" spans="1:16" x14ac:dyDescent="0.25">
      <c r="A14" s="3">
        <v>46247</v>
      </c>
      <c r="B14" s="2">
        <v>205</v>
      </c>
      <c r="C14" s="6">
        <v>1</v>
      </c>
      <c r="D14" s="2">
        <f t="shared" si="0"/>
        <v>204</v>
      </c>
      <c r="E14" s="5">
        <v>161</v>
      </c>
      <c r="F14" s="2">
        <f t="shared" si="1"/>
        <v>43</v>
      </c>
      <c r="G14" s="10">
        <f t="shared" si="2"/>
        <v>0.78921568627450978</v>
      </c>
      <c r="I14" s="14"/>
      <c r="P14" s="11"/>
    </row>
    <row r="15" spans="1:16" x14ac:dyDescent="0.25">
      <c r="A15" s="3">
        <v>46248</v>
      </c>
      <c r="B15" s="2">
        <v>205</v>
      </c>
      <c r="C15" s="6">
        <v>1</v>
      </c>
      <c r="D15" s="2">
        <f t="shared" si="0"/>
        <v>204</v>
      </c>
      <c r="E15" s="5">
        <v>168</v>
      </c>
      <c r="F15" s="2">
        <f t="shared" si="1"/>
        <v>36</v>
      </c>
      <c r="G15" s="10">
        <f t="shared" si="2"/>
        <v>0.82352941176470584</v>
      </c>
      <c r="I15" s="14"/>
      <c r="P15" s="11"/>
    </row>
    <row r="16" spans="1:16" x14ac:dyDescent="0.25">
      <c r="A16" s="3">
        <v>46249</v>
      </c>
      <c r="B16" s="2">
        <v>205</v>
      </c>
      <c r="C16" s="6">
        <v>1</v>
      </c>
      <c r="D16" s="2">
        <f t="shared" si="0"/>
        <v>204</v>
      </c>
      <c r="E16" s="5">
        <v>149</v>
      </c>
      <c r="F16" s="2">
        <f t="shared" si="1"/>
        <v>55</v>
      </c>
      <c r="G16" s="10">
        <f t="shared" si="2"/>
        <v>0.73039215686274506</v>
      </c>
      <c r="I16" s="14"/>
      <c r="P16" s="11"/>
    </row>
    <row r="17" spans="1:16" x14ac:dyDescent="0.25">
      <c r="A17" s="3">
        <v>46250</v>
      </c>
      <c r="B17" s="2">
        <v>205</v>
      </c>
      <c r="C17" s="6">
        <v>1</v>
      </c>
      <c r="D17" s="2">
        <f t="shared" si="0"/>
        <v>204</v>
      </c>
      <c r="E17" s="5">
        <v>151</v>
      </c>
      <c r="F17" s="2">
        <f t="shared" si="1"/>
        <v>53</v>
      </c>
      <c r="G17" s="10">
        <f t="shared" si="2"/>
        <v>0.74019607843137258</v>
      </c>
      <c r="I17" s="14"/>
      <c r="P17" s="11"/>
    </row>
    <row r="18" spans="1:16" x14ac:dyDescent="0.25">
      <c r="A18" s="3">
        <v>46251</v>
      </c>
      <c r="B18" s="2">
        <v>205</v>
      </c>
      <c r="C18" s="6">
        <v>1</v>
      </c>
      <c r="D18" s="2">
        <f t="shared" si="0"/>
        <v>204</v>
      </c>
      <c r="E18" s="5">
        <v>150</v>
      </c>
      <c r="F18" s="2">
        <f t="shared" si="1"/>
        <v>54</v>
      </c>
      <c r="G18" s="10">
        <f t="shared" si="2"/>
        <v>0.73529411764705888</v>
      </c>
      <c r="I18" s="14"/>
      <c r="P18" s="11"/>
    </row>
    <row r="19" spans="1:16" x14ac:dyDescent="0.25">
      <c r="A19" s="3">
        <v>46252</v>
      </c>
      <c r="B19" s="2">
        <v>205</v>
      </c>
      <c r="C19" s="6">
        <v>1</v>
      </c>
      <c r="D19" s="2">
        <f t="shared" si="0"/>
        <v>204</v>
      </c>
      <c r="E19" s="5">
        <v>148</v>
      </c>
      <c r="F19" s="2">
        <f t="shared" si="1"/>
        <v>56</v>
      </c>
      <c r="G19" s="10">
        <f t="shared" si="2"/>
        <v>0.72549019607843135</v>
      </c>
      <c r="I19" s="14"/>
      <c r="P19" s="11"/>
    </row>
    <row r="20" spans="1:16" x14ac:dyDescent="0.25">
      <c r="A20" s="3">
        <v>46253</v>
      </c>
      <c r="B20" s="2">
        <v>205</v>
      </c>
      <c r="C20" s="6">
        <v>1</v>
      </c>
      <c r="D20" s="2">
        <f t="shared" si="0"/>
        <v>204</v>
      </c>
      <c r="E20" s="5">
        <v>155</v>
      </c>
      <c r="F20" s="2">
        <f t="shared" si="1"/>
        <v>49</v>
      </c>
      <c r="G20" s="10">
        <f t="shared" si="2"/>
        <v>0.75980392156862742</v>
      </c>
      <c r="I20" s="14"/>
      <c r="P20" s="11"/>
    </row>
    <row r="21" spans="1:16" x14ac:dyDescent="0.25">
      <c r="A21" s="3">
        <v>46254</v>
      </c>
      <c r="B21" s="2">
        <v>205</v>
      </c>
      <c r="C21" s="6">
        <v>1</v>
      </c>
      <c r="D21" s="2">
        <f t="shared" si="0"/>
        <v>204</v>
      </c>
      <c r="E21" s="5">
        <v>163</v>
      </c>
      <c r="F21" s="2">
        <f t="shared" si="1"/>
        <v>41</v>
      </c>
      <c r="G21" s="10">
        <f t="shared" si="2"/>
        <v>0.7990196078431373</v>
      </c>
      <c r="I21" s="14"/>
      <c r="P21" s="11"/>
    </row>
    <row r="22" spans="1:16" x14ac:dyDescent="0.25">
      <c r="A22" s="3">
        <v>46255</v>
      </c>
      <c r="B22" s="2">
        <v>205</v>
      </c>
      <c r="C22" s="6">
        <v>1</v>
      </c>
      <c r="D22" s="2">
        <f t="shared" si="0"/>
        <v>204</v>
      </c>
      <c r="E22" s="5">
        <v>160</v>
      </c>
      <c r="F22" s="2">
        <f t="shared" si="1"/>
        <v>44</v>
      </c>
      <c r="G22" s="10">
        <f t="shared" si="2"/>
        <v>0.78431372549019607</v>
      </c>
      <c r="I22" s="14"/>
      <c r="P22" s="11"/>
    </row>
    <row r="23" spans="1:16" x14ac:dyDescent="0.25">
      <c r="A23" s="3">
        <v>46256</v>
      </c>
      <c r="B23" s="2">
        <v>205</v>
      </c>
      <c r="C23" s="6">
        <v>1</v>
      </c>
      <c r="D23" s="2">
        <f t="shared" si="0"/>
        <v>204</v>
      </c>
      <c r="E23" s="5">
        <v>167</v>
      </c>
      <c r="F23" s="2">
        <f t="shared" si="1"/>
        <v>37</v>
      </c>
      <c r="G23" s="10">
        <f t="shared" si="2"/>
        <v>0.81862745098039214</v>
      </c>
      <c r="I23" s="14"/>
      <c r="P23" s="11"/>
    </row>
    <row r="24" spans="1:16" x14ac:dyDescent="0.25">
      <c r="A24" s="3">
        <v>46257</v>
      </c>
      <c r="B24" s="2">
        <v>205</v>
      </c>
      <c r="C24" s="6">
        <v>1</v>
      </c>
      <c r="D24" s="2">
        <f t="shared" si="0"/>
        <v>204</v>
      </c>
      <c r="E24" s="5">
        <v>176</v>
      </c>
      <c r="F24" s="2">
        <f t="shared" si="1"/>
        <v>28</v>
      </c>
      <c r="G24" s="10">
        <f t="shared" si="2"/>
        <v>0.86274509803921573</v>
      </c>
      <c r="I24" s="14"/>
      <c r="P24" s="11"/>
    </row>
    <row r="25" spans="1:16" x14ac:dyDescent="0.25">
      <c r="A25" s="3">
        <v>46258</v>
      </c>
      <c r="B25" s="2">
        <v>205</v>
      </c>
      <c r="C25" s="6">
        <v>1</v>
      </c>
      <c r="D25" s="2">
        <f t="shared" si="0"/>
        <v>204</v>
      </c>
      <c r="E25" s="5">
        <v>173</v>
      </c>
      <c r="F25" s="2">
        <f t="shared" si="1"/>
        <v>31</v>
      </c>
      <c r="G25" s="10">
        <f t="shared" si="2"/>
        <v>0.84803921568627449</v>
      </c>
      <c r="I25" s="14"/>
      <c r="P25" s="11"/>
    </row>
    <row r="26" spans="1:16" x14ac:dyDescent="0.25">
      <c r="A26" s="3">
        <v>46259</v>
      </c>
      <c r="B26" s="2">
        <v>205</v>
      </c>
      <c r="C26" s="6">
        <v>1</v>
      </c>
      <c r="D26" s="2">
        <f t="shared" si="0"/>
        <v>204</v>
      </c>
      <c r="E26" s="5">
        <v>168</v>
      </c>
      <c r="F26" s="2">
        <f t="shared" si="1"/>
        <v>36</v>
      </c>
      <c r="G26" s="10">
        <f t="shared" si="2"/>
        <v>0.82352941176470584</v>
      </c>
      <c r="I26" s="14"/>
      <c r="P26" s="11"/>
    </row>
    <row r="27" spans="1:16" x14ac:dyDescent="0.25">
      <c r="A27" s="3">
        <v>46260</v>
      </c>
      <c r="B27" s="2">
        <v>205</v>
      </c>
      <c r="C27" s="6">
        <v>1</v>
      </c>
      <c r="D27" s="2">
        <f t="shared" si="0"/>
        <v>204</v>
      </c>
      <c r="E27" s="5">
        <v>155</v>
      </c>
      <c r="F27" s="2">
        <f t="shared" si="1"/>
        <v>49</v>
      </c>
      <c r="G27" s="10">
        <f t="shared" si="2"/>
        <v>0.75980392156862742</v>
      </c>
      <c r="I27" s="14"/>
      <c r="P27" s="11"/>
    </row>
    <row r="28" spans="1:16" x14ac:dyDescent="0.25">
      <c r="A28" s="3">
        <v>46261</v>
      </c>
      <c r="B28" s="2">
        <v>205</v>
      </c>
      <c r="C28" s="6">
        <v>1</v>
      </c>
      <c r="D28" s="2">
        <f t="shared" si="0"/>
        <v>204</v>
      </c>
      <c r="E28" s="5">
        <v>150</v>
      </c>
      <c r="F28" s="2">
        <f t="shared" si="1"/>
        <v>54</v>
      </c>
      <c r="G28" s="10">
        <f t="shared" si="2"/>
        <v>0.73529411764705888</v>
      </c>
      <c r="I28" s="14"/>
      <c r="P28" s="11"/>
    </row>
    <row r="29" spans="1:16" x14ac:dyDescent="0.25">
      <c r="A29" s="3">
        <v>46262</v>
      </c>
      <c r="B29" s="2">
        <v>205</v>
      </c>
      <c r="C29" s="6">
        <v>1</v>
      </c>
      <c r="D29" s="2">
        <f t="shared" si="0"/>
        <v>204</v>
      </c>
      <c r="E29" s="5">
        <v>148</v>
      </c>
      <c r="F29" s="2">
        <f t="shared" si="1"/>
        <v>56</v>
      </c>
      <c r="G29" s="10">
        <f t="shared" si="2"/>
        <v>0.72549019607843135</v>
      </c>
      <c r="I29" s="14"/>
      <c r="P29" s="11"/>
    </row>
    <row r="30" spans="1:16" x14ac:dyDescent="0.25">
      <c r="A30" s="3">
        <v>46263</v>
      </c>
      <c r="B30" s="2">
        <v>205</v>
      </c>
      <c r="C30" s="6">
        <v>1</v>
      </c>
      <c r="D30" s="2">
        <f t="shared" si="0"/>
        <v>204</v>
      </c>
      <c r="E30" s="5">
        <v>133</v>
      </c>
      <c r="F30" s="2">
        <f t="shared" si="1"/>
        <v>71</v>
      </c>
      <c r="G30" s="10">
        <f t="shared" si="2"/>
        <v>0.65196078431372551</v>
      </c>
      <c r="I30" s="14"/>
      <c r="P30" s="11"/>
    </row>
    <row r="31" spans="1:16" x14ac:dyDescent="0.25">
      <c r="A31" s="3">
        <v>46264</v>
      </c>
      <c r="B31" s="2">
        <v>205</v>
      </c>
      <c r="C31" s="6">
        <v>1</v>
      </c>
      <c r="D31" s="2">
        <f t="shared" si="0"/>
        <v>204</v>
      </c>
      <c r="E31" s="5">
        <v>116</v>
      </c>
      <c r="F31" s="2">
        <f t="shared" si="1"/>
        <v>88</v>
      </c>
      <c r="G31" s="10">
        <f t="shared" si="2"/>
        <v>0.56862745098039214</v>
      </c>
      <c r="I31" s="14"/>
      <c r="P31" s="11"/>
    </row>
    <row r="32" spans="1:16" x14ac:dyDescent="0.25">
      <c r="A32" s="3">
        <v>46265</v>
      </c>
      <c r="B32" s="2">
        <v>205</v>
      </c>
      <c r="C32" s="6">
        <v>1</v>
      </c>
      <c r="D32" s="2">
        <f t="shared" si="0"/>
        <v>204</v>
      </c>
      <c r="E32" s="5">
        <v>103</v>
      </c>
      <c r="F32" s="2">
        <f t="shared" si="1"/>
        <v>101</v>
      </c>
      <c r="G32" s="10">
        <f t="shared" si="2"/>
        <v>0.50490196078431371</v>
      </c>
      <c r="I32" s="14"/>
      <c r="P32" s="11"/>
    </row>
    <row r="33" spans="3:5" x14ac:dyDescent="0.25">
      <c r="C33" s="12">
        <f>SUM(C2:C32)</f>
        <v>31</v>
      </c>
      <c r="E33" s="13">
        <f>SUM(E2:E32)</f>
        <v>4875</v>
      </c>
    </row>
    <row r="34" spans="3:5" x14ac:dyDescent="0.25">
      <c r="D34" t="s">
        <v>12</v>
      </c>
    </row>
  </sheetData>
  <conditionalFormatting sqref="P2:P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0943-9364-4D8E-ACD2-1739050BE901}">
  <dimension ref="A1:P30"/>
  <sheetViews>
    <sheetView showGridLines="0" zoomScaleNormal="100" workbookViewId="0">
      <selection activeCell="J23" sqref="J23"/>
    </sheetView>
  </sheetViews>
  <sheetFormatPr defaultRowHeight="15" x14ac:dyDescent="0.25"/>
  <cols>
    <col min="1" max="5" width="15.7109375" customWidth="1"/>
    <col min="6" max="6" width="19.140625" bestFit="1" customWidth="1"/>
    <col min="7" max="16" width="15.7109375" customWidth="1"/>
  </cols>
  <sheetData>
    <row r="1" spans="1:16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16" x14ac:dyDescent="0.25">
      <c r="A2" s="3">
        <v>46054</v>
      </c>
      <c r="B2" s="2">
        <v>205</v>
      </c>
      <c r="C2" s="6">
        <v>0</v>
      </c>
      <c r="D2" s="2">
        <f>B2-C2</f>
        <v>205</v>
      </c>
      <c r="E2" s="5">
        <v>185</v>
      </c>
      <c r="F2" s="2">
        <f>D2-E2</f>
        <v>20</v>
      </c>
      <c r="G2" s="10">
        <f>E2/D2</f>
        <v>0.90243902439024393</v>
      </c>
      <c r="P2" s="11"/>
    </row>
    <row r="3" spans="1:16" x14ac:dyDescent="0.25">
      <c r="A3" s="3">
        <v>46055</v>
      </c>
      <c r="B3" s="2">
        <v>205</v>
      </c>
      <c r="C3" s="6">
        <v>0</v>
      </c>
      <c r="D3" s="2">
        <f t="shared" ref="D3:D29" si="0">B3-C3</f>
        <v>205</v>
      </c>
      <c r="E3" s="5">
        <v>195</v>
      </c>
      <c r="F3" s="2">
        <f t="shared" ref="F3:F29" si="1">D3-E3</f>
        <v>10</v>
      </c>
      <c r="G3" s="10">
        <f t="shared" ref="G3:G29" si="2">E3/D3</f>
        <v>0.95121951219512191</v>
      </c>
      <c r="P3" s="11"/>
    </row>
    <row r="4" spans="1:16" x14ac:dyDescent="0.25">
      <c r="A4" s="3">
        <v>46056</v>
      </c>
      <c r="B4" s="2">
        <v>205</v>
      </c>
      <c r="C4" s="6">
        <v>0</v>
      </c>
      <c r="D4" s="2">
        <f t="shared" si="0"/>
        <v>205</v>
      </c>
      <c r="E4" s="5">
        <v>195</v>
      </c>
      <c r="F4" s="2">
        <f t="shared" si="1"/>
        <v>10</v>
      </c>
      <c r="G4" s="10">
        <f t="shared" si="2"/>
        <v>0.95121951219512191</v>
      </c>
      <c r="P4" s="11"/>
    </row>
    <row r="5" spans="1:16" x14ac:dyDescent="0.25">
      <c r="A5" s="3">
        <v>46057</v>
      </c>
      <c r="B5" s="2">
        <v>205</v>
      </c>
      <c r="C5" s="6">
        <v>0</v>
      </c>
      <c r="D5" s="2">
        <f t="shared" si="0"/>
        <v>205</v>
      </c>
      <c r="E5" s="5">
        <v>196</v>
      </c>
      <c r="F5" s="2">
        <f t="shared" si="1"/>
        <v>9</v>
      </c>
      <c r="G5" s="10">
        <f t="shared" si="2"/>
        <v>0.95609756097560972</v>
      </c>
      <c r="P5" s="11"/>
    </row>
    <row r="6" spans="1:16" x14ac:dyDescent="0.25">
      <c r="A6" s="3">
        <v>46058</v>
      </c>
      <c r="B6" s="2">
        <v>205</v>
      </c>
      <c r="C6" s="6">
        <v>0</v>
      </c>
      <c r="D6" s="2">
        <f t="shared" si="0"/>
        <v>205</v>
      </c>
      <c r="E6" s="5">
        <v>204</v>
      </c>
      <c r="F6" s="2">
        <f t="shared" si="1"/>
        <v>1</v>
      </c>
      <c r="G6" s="10">
        <f t="shared" si="2"/>
        <v>0.99512195121951219</v>
      </c>
      <c r="P6" s="11"/>
    </row>
    <row r="7" spans="1:16" x14ac:dyDescent="0.25">
      <c r="A7" s="3">
        <v>46059</v>
      </c>
      <c r="B7" s="2">
        <v>205</v>
      </c>
      <c r="C7" s="6">
        <v>0</v>
      </c>
      <c r="D7" s="2">
        <f t="shared" si="0"/>
        <v>205</v>
      </c>
      <c r="E7" s="5">
        <v>191</v>
      </c>
      <c r="F7" s="2">
        <f t="shared" si="1"/>
        <v>14</v>
      </c>
      <c r="G7" s="10">
        <f t="shared" si="2"/>
        <v>0.93170731707317078</v>
      </c>
      <c r="P7" s="11"/>
    </row>
    <row r="8" spans="1:16" x14ac:dyDescent="0.25">
      <c r="A8" s="3">
        <v>46060</v>
      </c>
      <c r="B8" s="2">
        <v>205</v>
      </c>
      <c r="C8" s="6">
        <v>0</v>
      </c>
      <c r="D8" s="2">
        <f t="shared" si="0"/>
        <v>205</v>
      </c>
      <c r="E8" s="5">
        <v>198</v>
      </c>
      <c r="F8" s="2">
        <f t="shared" si="1"/>
        <v>7</v>
      </c>
      <c r="G8" s="10">
        <f t="shared" si="2"/>
        <v>0.96585365853658534</v>
      </c>
      <c r="P8" s="11"/>
    </row>
    <row r="9" spans="1:16" x14ac:dyDescent="0.25">
      <c r="A9" s="3">
        <v>46061</v>
      </c>
      <c r="B9" s="2">
        <v>205</v>
      </c>
      <c r="C9" s="6">
        <v>0</v>
      </c>
      <c r="D9" s="2">
        <f t="shared" si="0"/>
        <v>205</v>
      </c>
      <c r="E9" s="5">
        <v>195</v>
      </c>
      <c r="F9" s="2">
        <f t="shared" si="1"/>
        <v>10</v>
      </c>
      <c r="G9" s="10">
        <f t="shared" si="2"/>
        <v>0.95121951219512191</v>
      </c>
      <c r="P9" s="11"/>
    </row>
    <row r="10" spans="1:16" x14ac:dyDescent="0.25">
      <c r="A10" s="3">
        <v>46062</v>
      </c>
      <c r="B10" s="2">
        <v>205</v>
      </c>
      <c r="C10" s="6">
        <v>0</v>
      </c>
      <c r="D10" s="2">
        <f t="shared" si="0"/>
        <v>205</v>
      </c>
      <c r="E10" s="5">
        <v>180</v>
      </c>
      <c r="F10" s="2">
        <f t="shared" si="1"/>
        <v>25</v>
      </c>
      <c r="G10" s="10">
        <f t="shared" si="2"/>
        <v>0.87804878048780488</v>
      </c>
      <c r="P10" s="11"/>
    </row>
    <row r="11" spans="1:16" x14ac:dyDescent="0.25">
      <c r="A11" s="3">
        <v>46063</v>
      </c>
      <c r="B11" s="2">
        <v>205</v>
      </c>
      <c r="C11" s="6">
        <v>0</v>
      </c>
      <c r="D11" s="2">
        <f t="shared" si="0"/>
        <v>205</v>
      </c>
      <c r="E11" s="5">
        <v>194</v>
      </c>
      <c r="F11" s="2">
        <f t="shared" si="1"/>
        <v>11</v>
      </c>
      <c r="G11" s="10">
        <f t="shared" si="2"/>
        <v>0.9463414634146341</v>
      </c>
      <c r="P11" s="11"/>
    </row>
    <row r="12" spans="1:16" x14ac:dyDescent="0.25">
      <c r="A12" s="3">
        <v>46064</v>
      </c>
      <c r="B12" s="2">
        <v>205</v>
      </c>
      <c r="C12" s="6">
        <v>0</v>
      </c>
      <c r="D12" s="2">
        <f t="shared" si="0"/>
        <v>205</v>
      </c>
      <c r="E12" s="5">
        <v>199</v>
      </c>
      <c r="F12" s="2">
        <f t="shared" si="1"/>
        <v>6</v>
      </c>
      <c r="G12" s="10">
        <f t="shared" si="2"/>
        <v>0.97073170731707314</v>
      </c>
      <c r="P12" s="11"/>
    </row>
    <row r="13" spans="1:16" x14ac:dyDescent="0.25">
      <c r="A13" s="3">
        <v>46065</v>
      </c>
      <c r="B13" s="2">
        <v>205</v>
      </c>
      <c r="C13" s="6">
        <v>0</v>
      </c>
      <c r="D13" s="2">
        <f t="shared" si="0"/>
        <v>205</v>
      </c>
      <c r="E13" s="5">
        <v>185</v>
      </c>
      <c r="F13" s="2">
        <f t="shared" si="1"/>
        <v>20</v>
      </c>
      <c r="G13" s="10">
        <f t="shared" si="2"/>
        <v>0.90243902439024393</v>
      </c>
      <c r="P13" s="11"/>
    </row>
    <row r="14" spans="1:16" x14ac:dyDescent="0.25">
      <c r="A14" s="3">
        <v>46066</v>
      </c>
      <c r="B14" s="2">
        <v>205</v>
      </c>
      <c r="C14" s="6">
        <v>0</v>
      </c>
      <c r="D14" s="2">
        <f t="shared" si="0"/>
        <v>205</v>
      </c>
      <c r="E14" s="5">
        <v>186</v>
      </c>
      <c r="F14" s="2">
        <f t="shared" si="1"/>
        <v>19</v>
      </c>
      <c r="G14" s="10">
        <f t="shared" si="2"/>
        <v>0.90731707317073174</v>
      </c>
      <c r="P14" s="11"/>
    </row>
    <row r="15" spans="1:16" x14ac:dyDescent="0.25">
      <c r="A15" s="3">
        <v>46067</v>
      </c>
      <c r="B15" s="2">
        <v>205</v>
      </c>
      <c r="C15" s="6">
        <v>0</v>
      </c>
      <c r="D15" s="2">
        <f t="shared" si="0"/>
        <v>205</v>
      </c>
      <c r="E15" s="5">
        <v>194</v>
      </c>
      <c r="F15" s="2">
        <f t="shared" si="1"/>
        <v>11</v>
      </c>
      <c r="G15" s="10">
        <f t="shared" si="2"/>
        <v>0.9463414634146341</v>
      </c>
      <c r="P15" s="11"/>
    </row>
    <row r="16" spans="1:16" x14ac:dyDescent="0.25">
      <c r="A16" s="3">
        <v>46068</v>
      </c>
      <c r="B16" s="2">
        <v>205</v>
      </c>
      <c r="C16" s="6">
        <v>0</v>
      </c>
      <c r="D16" s="2">
        <f t="shared" si="0"/>
        <v>205</v>
      </c>
      <c r="E16" s="5">
        <v>187</v>
      </c>
      <c r="F16" s="2">
        <f t="shared" si="1"/>
        <v>18</v>
      </c>
      <c r="G16" s="10">
        <f t="shared" si="2"/>
        <v>0.91219512195121955</v>
      </c>
      <c r="P16" s="11"/>
    </row>
    <row r="17" spans="1:16" x14ac:dyDescent="0.25">
      <c r="A17" s="3">
        <v>46069</v>
      </c>
      <c r="B17" s="2">
        <v>205</v>
      </c>
      <c r="C17" s="6">
        <v>0</v>
      </c>
      <c r="D17" s="2">
        <f t="shared" si="0"/>
        <v>205</v>
      </c>
      <c r="E17" s="5">
        <v>188</v>
      </c>
      <c r="F17" s="2">
        <f t="shared" si="1"/>
        <v>17</v>
      </c>
      <c r="G17" s="10">
        <f t="shared" si="2"/>
        <v>0.91707317073170735</v>
      </c>
      <c r="P17" s="11"/>
    </row>
    <row r="18" spans="1:16" x14ac:dyDescent="0.25">
      <c r="A18" s="3">
        <v>46070</v>
      </c>
      <c r="B18" s="2">
        <v>205</v>
      </c>
      <c r="C18" s="6">
        <v>0</v>
      </c>
      <c r="D18" s="2">
        <f t="shared" si="0"/>
        <v>205</v>
      </c>
      <c r="E18" s="5">
        <v>185</v>
      </c>
      <c r="F18" s="2">
        <f t="shared" si="1"/>
        <v>20</v>
      </c>
      <c r="G18" s="10">
        <f t="shared" si="2"/>
        <v>0.90243902439024393</v>
      </c>
      <c r="P18" s="11"/>
    </row>
    <row r="19" spans="1:16" x14ac:dyDescent="0.25">
      <c r="A19" s="3">
        <v>46071</v>
      </c>
      <c r="B19" s="2">
        <v>205</v>
      </c>
      <c r="C19" s="6">
        <v>0</v>
      </c>
      <c r="D19" s="2">
        <f t="shared" si="0"/>
        <v>205</v>
      </c>
      <c r="E19" s="5">
        <v>165</v>
      </c>
      <c r="F19" s="2">
        <f t="shared" si="1"/>
        <v>40</v>
      </c>
      <c r="G19" s="10">
        <f t="shared" si="2"/>
        <v>0.80487804878048785</v>
      </c>
      <c r="P19" s="11"/>
    </row>
    <row r="20" spans="1:16" x14ac:dyDescent="0.25">
      <c r="A20" s="3">
        <v>46072</v>
      </c>
      <c r="B20" s="2">
        <v>205</v>
      </c>
      <c r="C20" s="6">
        <v>0</v>
      </c>
      <c r="D20" s="2">
        <f t="shared" si="0"/>
        <v>205</v>
      </c>
      <c r="E20" s="5">
        <v>176</v>
      </c>
      <c r="F20" s="2">
        <f t="shared" si="1"/>
        <v>29</v>
      </c>
      <c r="G20" s="10">
        <f t="shared" si="2"/>
        <v>0.85853658536585364</v>
      </c>
      <c r="P20" s="11"/>
    </row>
    <row r="21" spans="1:16" x14ac:dyDescent="0.25">
      <c r="A21" s="3">
        <v>46073</v>
      </c>
      <c r="B21" s="2">
        <v>205</v>
      </c>
      <c r="C21" s="6">
        <v>0</v>
      </c>
      <c r="D21" s="2">
        <f t="shared" si="0"/>
        <v>205</v>
      </c>
      <c r="E21" s="5">
        <v>196</v>
      </c>
      <c r="F21" s="2">
        <f t="shared" si="1"/>
        <v>9</v>
      </c>
      <c r="G21" s="10">
        <f t="shared" si="2"/>
        <v>0.95609756097560972</v>
      </c>
      <c r="P21" s="11"/>
    </row>
    <row r="22" spans="1:16" x14ac:dyDescent="0.25">
      <c r="A22" s="3">
        <v>46074</v>
      </c>
      <c r="B22" s="2">
        <v>205</v>
      </c>
      <c r="C22" s="6">
        <v>0</v>
      </c>
      <c r="D22" s="2">
        <f t="shared" si="0"/>
        <v>205</v>
      </c>
      <c r="E22" s="5">
        <v>195</v>
      </c>
      <c r="F22" s="2">
        <f t="shared" si="1"/>
        <v>10</v>
      </c>
      <c r="G22" s="10">
        <f t="shared" si="2"/>
        <v>0.95121951219512191</v>
      </c>
      <c r="P22" s="11"/>
    </row>
    <row r="23" spans="1:16" x14ac:dyDescent="0.25">
      <c r="A23" s="3">
        <v>46075</v>
      </c>
      <c r="B23" s="2">
        <v>205</v>
      </c>
      <c r="C23" s="6">
        <v>0</v>
      </c>
      <c r="D23" s="2">
        <f t="shared" si="0"/>
        <v>205</v>
      </c>
      <c r="E23" s="5">
        <v>193</v>
      </c>
      <c r="F23" s="2">
        <f t="shared" si="1"/>
        <v>12</v>
      </c>
      <c r="G23" s="10">
        <f t="shared" si="2"/>
        <v>0.94146341463414629</v>
      </c>
      <c r="P23" s="11"/>
    </row>
    <row r="24" spans="1:16" x14ac:dyDescent="0.25">
      <c r="A24" s="3">
        <v>46076</v>
      </c>
      <c r="B24" s="2">
        <v>205</v>
      </c>
      <c r="C24" s="6">
        <v>0</v>
      </c>
      <c r="D24" s="2">
        <f t="shared" si="0"/>
        <v>205</v>
      </c>
      <c r="E24" s="5">
        <v>192</v>
      </c>
      <c r="F24" s="2">
        <f t="shared" si="1"/>
        <v>13</v>
      </c>
      <c r="G24" s="10">
        <f t="shared" si="2"/>
        <v>0.93658536585365859</v>
      </c>
      <c r="P24" s="11"/>
    </row>
    <row r="25" spans="1:16" x14ac:dyDescent="0.25">
      <c r="A25" s="3">
        <v>46077</v>
      </c>
      <c r="B25" s="2">
        <v>205</v>
      </c>
      <c r="C25" s="6">
        <v>0</v>
      </c>
      <c r="D25" s="2">
        <f t="shared" si="0"/>
        <v>205</v>
      </c>
      <c r="E25" s="5">
        <v>198</v>
      </c>
      <c r="F25" s="2">
        <f t="shared" si="1"/>
        <v>7</v>
      </c>
      <c r="G25" s="10">
        <f t="shared" si="2"/>
        <v>0.96585365853658534</v>
      </c>
      <c r="P25" s="11"/>
    </row>
    <row r="26" spans="1:16" x14ac:dyDescent="0.25">
      <c r="A26" s="3">
        <v>46078</v>
      </c>
      <c r="B26" s="2">
        <v>205</v>
      </c>
      <c r="C26" s="6">
        <v>0</v>
      </c>
      <c r="D26" s="2">
        <f t="shared" si="0"/>
        <v>205</v>
      </c>
      <c r="E26" s="5">
        <v>195</v>
      </c>
      <c r="F26" s="2">
        <f t="shared" si="1"/>
        <v>10</v>
      </c>
      <c r="G26" s="10">
        <f t="shared" si="2"/>
        <v>0.95121951219512191</v>
      </c>
      <c r="P26" s="11"/>
    </row>
    <row r="27" spans="1:16" x14ac:dyDescent="0.25">
      <c r="A27" s="3">
        <v>46079</v>
      </c>
      <c r="B27" s="2">
        <v>205</v>
      </c>
      <c r="C27" s="6">
        <v>0</v>
      </c>
      <c r="D27" s="2">
        <f t="shared" si="0"/>
        <v>205</v>
      </c>
      <c r="E27" s="5">
        <v>192</v>
      </c>
      <c r="F27" s="2">
        <f t="shared" si="1"/>
        <v>13</v>
      </c>
      <c r="G27" s="10">
        <f t="shared" si="2"/>
        <v>0.93658536585365859</v>
      </c>
      <c r="P27" s="11"/>
    </row>
    <row r="28" spans="1:16" x14ac:dyDescent="0.25">
      <c r="A28" s="3">
        <v>46080</v>
      </c>
      <c r="B28" s="2">
        <v>205</v>
      </c>
      <c r="C28" s="6">
        <v>0</v>
      </c>
      <c r="D28" s="2">
        <f t="shared" si="0"/>
        <v>205</v>
      </c>
      <c r="E28" s="5">
        <v>188</v>
      </c>
      <c r="F28" s="2">
        <f t="shared" si="1"/>
        <v>17</v>
      </c>
      <c r="G28" s="10">
        <f t="shared" si="2"/>
        <v>0.91707317073170735</v>
      </c>
      <c r="P28" s="11"/>
    </row>
    <row r="29" spans="1:16" x14ac:dyDescent="0.25">
      <c r="A29" s="3">
        <v>46081</v>
      </c>
      <c r="B29" s="2">
        <v>205</v>
      </c>
      <c r="C29" s="6">
        <v>0</v>
      </c>
      <c r="D29" s="2">
        <f t="shared" si="0"/>
        <v>205</v>
      </c>
      <c r="E29" s="5">
        <v>181</v>
      </c>
      <c r="F29" s="2">
        <f t="shared" si="1"/>
        <v>24</v>
      </c>
      <c r="G29" s="10">
        <f t="shared" si="2"/>
        <v>0.88292682926829269</v>
      </c>
      <c r="P29" s="11"/>
    </row>
    <row r="30" spans="1:16" x14ac:dyDescent="0.25">
      <c r="C30" s="12">
        <f>SUM(C2:C29)</f>
        <v>0</v>
      </c>
      <c r="E30" s="12">
        <f>SUM(E2:E29)</f>
        <v>5328</v>
      </c>
    </row>
  </sheetData>
  <conditionalFormatting sqref="P2:P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D283-BDF4-4DAF-911E-2C2B84017BEF}">
  <dimension ref="A1:P33"/>
  <sheetViews>
    <sheetView showGridLines="0" zoomScaleNormal="100" workbookViewId="0">
      <selection activeCell="K21" sqref="K21"/>
    </sheetView>
  </sheetViews>
  <sheetFormatPr defaultRowHeight="15" x14ac:dyDescent="0.25"/>
  <cols>
    <col min="1" max="5" width="15.7109375" customWidth="1"/>
    <col min="6" max="6" width="19.140625" bestFit="1" customWidth="1"/>
    <col min="7" max="16" width="15.7109375" customWidth="1"/>
  </cols>
  <sheetData>
    <row r="1" spans="1:16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16" x14ac:dyDescent="0.25">
      <c r="A2" s="3">
        <v>46082</v>
      </c>
      <c r="B2" s="2">
        <v>205</v>
      </c>
      <c r="C2" s="6">
        <v>0</v>
      </c>
      <c r="D2" s="2">
        <f>B2-C2</f>
        <v>205</v>
      </c>
      <c r="E2" s="5">
        <v>182</v>
      </c>
      <c r="F2" s="2">
        <f>D2-E2</f>
        <v>23</v>
      </c>
      <c r="G2" s="10">
        <f>E2/D2</f>
        <v>0.8878048780487805</v>
      </c>
      <c r="P2" s="11"/>
    </row>
    <row r="3" spans="1:16" x14ac:dyDescent="0.25">
      <c r="A3" s="3">
        <v>46083</v>
      </c>
      <c r="B3" s="2">
        <v>205</v>
      </c>
      <c r="C3" s="6">
        <v>9</v>
      </c>
      <c r="D3" s="2">
        <f t="shared" ref="D3:D32" si="0">B3-C3</f>
        <v>196</v>
      </c>
      <c r="E3" s="5">
        <v>180</v>
      </c>
      <c r="F3" s="2">
        <f t="shared" ref="F3:F32" si="1">D3-E3</f>
        <v>16</v>
      </c>
      <c r="G3" s="10">
        <f t="shared" ref="G3:G32" si="2">E3/D3</f>
        <v>0.91836734693877553</v>
      </c>
      <c r="P3" s="11"/>
    </row>
    <row r="4" spans="1:16" x14ac:dyDescent="0.25">
      <c r="A4" s="3">
        <v>46084</v>
      </c>
      <c r="B4" s="2">
        <v>205</v>
      </c>
      <c r="C4" s="6">
        <v>9</v>
      </c>
      <c r="D4" s="2">
        <f t="shared" si="0"/>
        <v>196</v>
      </c>
      <c r="E4" s="5">
        <v>189</v>
      </c>
      <c r="F4" s="2">
        <f t="shared" si="1"/>
        <v>7</v>
      </c>
      <c r="G4" s="10">
        <f t="shared" si="2"/>
        <v>0.9642857142857143</v>
      </c>
      <c r="P4" s="11"/>
    </row>
    <row r="5" spans="1:16" x14ac:dyDescent="0.25">
      <c r="A5" s="3">
        <v>46085</v>
      </c>
      <c r="B5" s="2">
        <v>205</v>
      </c>
      <c r="C5" s="6">
        <v>9</v>
      </c>
      <c r="D5" s="2">
        <f t="shared" si="0"/>
        <v>196</v>
      </c>
      <c r="E5" s="5">
        <v>187</v>
      </c>
      <c r="F5" s="2">
        <f t="shared" si="1"/>
        <v>9</v>
      </c>
      <c r="G5" s="10">
        <f t="shared" si="2"/>
        <v>0.95408163265306123</v>
      </c>
      <c r="P5" s="11"/>
    </row>
    <row r="6" spans="1:16" x14ac:dyDescent="0.25">
      <c r="A6" s="3">
        <v>46086</v>
      </c>
      <c r="B6" s="2">
        <v>205</v>
      </c>
      <c r="C6" s="6">
        <v>9</v>
      </c>
      <c r="D6" s="2">
        <f t="shared" si="0"/>
        <v>196</v>
      </c>
      <c r="E6" s="5">
        <v>177</v>
      </c>
      <c r="F6" s="2">
        <f t="shared" si="1"/>
        <v>19</v>
      </c>
      <c r="G6" s="10">
        <f t="shared" si="2"/>
        <v>0.90306122448979587</v>
      </c>
      <c r="P6" s="11"/>
    </row>
    <row r="7" spans="1:16" x14ac:dyDescent="0.25">
      <c r="A7" s="3">
        <v>46087</v>
      </c>
      <c r="B7" s="2">
        <v>205</v>
      </c>
      <c r="C7" s="6">
        <v>9</v>
      </c>
      <c r="D7" s="2">
        <f t="shared" si="0"/>
        <v>196</v>
      </c>
      <c r="E7" s="5">
        <v>199</v>
      </c>
      <c r="F7" s="2">
        <f t="shared" si="1"/>
        <v>-3</v>
      </c>
      <c r="G7" s="10">
        <f t="shared" si="2"/>
        <v>1.0153061224489797</v>
      </c>
      <c r="P7" s="11"/>
    </row>
    <row r="8" spans="1:16" x14ac:dyDescent="0.25">
      <c r="A8" s="3">
        <v>46088</v>
      </c>
      <c r="B8" s="2">
        <v>205</v>
      </c>
      <c r="C8" s="6">
        <v>9</v>
      </c>
      <c r="D8" s="2">
        <f t="shared" si="0"/>
        <v>196</v>
      </c>
      <c r="E8" s="5">
        <v>188</v>
      </c>
      <c r="F8" s="2">
        <f t="shared" si="1"/>
        <v>8</v>
      </c>
      <c r="G8" s="10">
        <f t="shared" si="2"/>
        <v>0.95918367346938771</v>
      </c>
      <c r="P8" s="11"/>
    </row>
    <row r="9" spans="1:16" x14ac:dyDescent="0.25">
      <c r="A9" s="3">
        <v>46089</v>
      </c>
      <c r="B9" s="2">
        <v>205</v>
      </c>
      <c r="C9" s="6">
        <v>9</v>
      </c>
      <c r="D9" s="2">
        <f t="shared" si="0"/>
        <v>196</v>
      </c>
      <c r="E9" s="5">
        <v>194</v>
      </c>
      <c r="F9" s="2">
        <f t="shared" si="1"/>
        <v>2</v>
      </c>
      <c r="G9" s="10">
        <f t="shared" si="2"/>
        <v>0.98979591836734693</v>
      </c>
      <c r="P9" s="11"/>
    </row>
    <row r="10" spans="1:16" x14ac:dyDescent="0.25">
      <c r="A10" s="3">
        <v>46090</v>
      </c>
      <c r="B10" s="2">
        <v>205</v>
      </c>
      <c r="C10" s="6">
        <v>9</v>
      </c>
      <c r="D10" s="2">
        <f t="shared" si="0"/>
        <v>196</v>
      </c>
      <c r="E10" s="5">
        <v>191</v>
      </c>
      <c r="F10" s="2">
        <f t="shared" si="1"/>
        <v>5</v>
      </c>
      <c r="G10" s="10">
        <f t="shared" si="2"/>
        <v>0.97448979591836737</v>
      </c>
      <c r="P10" s="11"/>
    </row>
    <row r="11" spans="1:16" x14ac:dyDescent="0.25">
      <c r="A11" s="3">
        <v>46091</v>
      </c>
      <c r="B11" s="2">
        <v>205</v>
      </c>
      <c r="C11" s="6">
        <v>9</v>
      </c>
      <c r="D11" s="2">
        <f t="shared" si="0"/>
        <v>196</v>
      </c>
      <c r="E11" s="5">
        <v>175</v>
      </c>
      <c r="F11" s="2">
        <f t="shared" si="1"/>
        <v>21</v>
      </c>
      <c r="G11" s="10">
        <f t="shared" si="2"/>
        <v>0.8928571428571429</v>
      </c>
      <c r="P11" s="11"/>
    </row>
    <row r="12" spans="1:16" x14ac:dyDescent="0.25">
      <c r="A12" s="3">
        <v>46092</v>
      </c>
      <c r="B12" s="2">
        <v>205</v>
      </c>
      <c r="C12" s="6">
        <v>9</v>
      </c>
      <c r="D12" s="2">
        <f t="shared" si="0"/>
        <v>196</v>
      </c>
      <c r="E12" s="5">
        <v>183</v>
      </c>
      <c r="F12" s="2">
        <f t="shared" si="1"/>
        <v>13</v>
      </c>
      <c r="G12" s="10">
        <f t="shared" si="2"/>
        <v>0.93367346938775508</v>
      </c>
      <c r="P12" s="11"/>
    </row>
    <row r="13" spans="1:16" x14ac:dyDescent="0.25">
      <c r="A13" s="3">
        <v>46093</v>
      </c>
      <c r="B13" s="2">
        <v>205</v>
      </c>
      <c r="C13" s="6">
        <v>9</v>
      </c>
      <c r="D13" s="2">
        <f t="shared" si="0"/>
        <v>196</v>
      </c>
      <c r="E13" s="5">
        <v>188</v>
      </c>
      <c r="F13" s="2">
        <f t="shared" si="1"/>
        <v>8</v>
      </c>
      <c r="G13" s="10">
        <f t="shared" si="2"/>
        <v>0.95918367346938771</v>
      </c>
      <c r="P13" s="11"/>
    </row>
    <row r="14" spans="1:16" x14ac:dyDescent="0.25">
      <c r="A14" s="3">
        <v>46094</v>
      </c>
      <c r="B14" s="2">
        <v>205</v>
      </c>
      <c r="C14" s="6">
        <v>9</v>
      </c>
      <c r="D14" s="2">
        <f t="shared" si="0"/>
        <v>196</v>
      </c>
      <c r="E14" s="5">
        <v>178</v>
      </c>
      <c r="F14" s="2">
        <f t="shared" si="1"/>
        <v>18</v>
      </c>
      <c r="G14" s="10">
        <f t="shared" si="2"/>
        <v>0.90816326530612246</v>
      </c>
      <c r="P14" s="11"/>
    </row>
    <row r="15" spans="1:16" x14ac:dyDescent="0.25">
      <c r="A15" s="3">
        <v>46095</v>
      </c>
      <c r="B15" s="2">
        <v>205</v>
      </c>
      <c r="C15" s="6">
        <v>9</v>
      </c>
      <c r="D15" s="2">
        <f t="shared" si="0"/>
        <v>196</v>
      </c>
      <c r="E15" s="5">
        <v>186</v>
      </c>
      <c r="F15" s="2">
        <f t="shared" si="1"/>
        <v>10</v>
      </c>
      <c r="G15" s="10">
        <f t="shared" si="2"/>
        <v>0.94897959183673475</v>
      </c>
      <c r="P15" s="11"/>
    </row>
    <row r="16" spans="1:16" x14ac:dyDescent="0.25">
      <c r="A16" s="3">
        <v>46096</v>
      </c>
      <c r="B16" s="2">
        <v>205</v>
      </c>
      <c r="C16" s="6">
        <v>9</v>
      </c>
      <c r="D16" s="2">
        <f t="shared" si="0"/>
        <v>196</v>
      </c>
      <c r="E16" s="5">
        <v>188</v>
      </c>
      <c r="F16" s="2">
        <f t="shared" si="1"/>
        <v>8</v>
      </c>
      <c r="G16" s="10">
        <f t="shared" si="2"/>
        <v>0.95918367346938771</v>
      </c>
      <c r="P16" s="11"/>
    </row>
    <row r="17" spans="1:16" x14ac:dyDescent="0.25">
      <c r="A17" s="3">
        <v>46097</v>
      </c>
      <c r="B17" s="2">
        <v>205</v>
      </c>
      <c r="C17" s="6">
        <v>9</v>
      </c>
      <c r="D17" s="2">
        <f t="shared" si="0"/>
        <v>196</v>
      </c>
      <c r="E17" s="5">
        <v>187</v>
      </c>
      <c r="F17" s="2">
        <f t="shared" si="1"/>
        <v>9</v>
      </c>
      <c r="G17" s="10">
        <f t="shared" si="2"/>
        <v>0.95408163265306123</v>
      </c>
      <c r="P17" s="11"/>
    </row>
    <row r="18" spans="1:16" x14ac:dyDescent="0.25">
      <c r="A18" s="3">
        <v>46098</v>
      </c>
      <c r="B18" s="2">
        <v>205</v>
      </c>
      <c r="C18" s="6">
        <v>9</v>
      </c>
      <c r="D18" s="2">
        <f t="shared" si="0"/>
        <v>196</v>
      </c>
      <c r="E18" s="5">
        <v>188</v>
      </c>
      <c r="F18" s="2">
        <f t="shared" si="1"/>
        <v>8</v>
      </c>
      <c r="G18" s="10">
        <f t="shared" si="2"/>
        <v>0.95918367346938771</v>
      </c>
      <c r="P18" s="11"/>
    </row>
    <row r="19" spans="1:16" x14ac:dyDescent="0.25">
      <c r="A19" s="3">
        <v>46099</v>
      </c>
      <c r="B19" s="2">
        <v>205</v>
      </c>
      <c r="C19" s="6">
        <v>9</v>
      </c>
      <c r="D19" s="2">
        <f t="shared" si="0"/>
        <v>196</v>
      </c>
      <c r="E19" s="5">
        <v>193</v>
      </c>
      <c r="F19" s="2">
        <f t="shared" si="1"/>
        <v>3</v>
      </c>
      <c r="G19" s="10">
        <f t="shared" si="2"/>
        <v>0.98469387755102045</v>
      </c>
      <c r="P19" s="11"/>
    </row>
    <row r="20" spans="1:16" x14ac:dyDescent="0.25">
      <c r="A20" s="3">
        <v>46100</v>
      </c>
      <c r="B20" s="2">
        <v>205</v>
      </c>
      <c r="C20" s="6">
        <v>9</v>
      </c>
      <c r="D20" s="2">
        <f t="shared" si="0"/>
        <v>196</v>
      </c>
      <c r="E20" s="5">
        <v>195</v>
      </c>
      <c r="F20" s="2">
        <f t="shared" si="1"/>
        <v>1</v>
      </c>
      <c r="G20" s="10">
        <f t="shared" si="2"/>
        <v>0.99489795918367352</v>
      </c>
      <c r="P20" s="11"/>
    </row>
    <row r="21" spans="1:16" x14ac:dyDescent="0.25">
      <c r="A21" s="3">
        <v>46101</v>
      </c>
      <c r="B21" s="2">
        <v>205</v>
      </c>
      <c r="C21" s="6">
        <v>9</v>
      </c>
      <c r="D21" s="2">
        <f t="shared" si="0"/>
        <v>196</v>
      </c>
      <c r="E21" s="5">
        <v>183</v>
      </c>
      <c r="F21" s="2">
        <f t="shared" si="1"/>
        <v>13</v>
      </c>
      <c r="G21" s="10">
        <f t="shared" si="2"/>
        <v>0.93367346938775508</v>
      </c>
      <c r="P21" s="11"/>
    </row>
    <row r="22" spans="1:16" x14ac:dyDescent="0.25">
      <c r="A22" s="3">
        <v>46102</v>
      </c>
      <c r="B22" s="2">
        <v>205</v>
      </c>
      <c r="C22" s="6">
        <v>9</v>
      </c>
      <c r="D22" s="2">
        <f t="shared" si="0"/>
        <v>196</v>
      </c>
      <c r="E22" s="5">
        <v>178</v>
      </c>
      <c r="F22" s="2">
        <f t="shared" si="1"/>
        <v>18</v>
      </c>
      <c r="G22" s="10">
        <f t="shared" si="2"/>
        <v>0.90816326530612246</v>
      </c>
      <c r="P22" s="11"/>
    </row>
    <row r="23" spans="1:16" x14ac:dyDescent="0.25">
      <c r="A23" s="3">
        <v>46103</v>
      </c>
      <c r="B23" s="2">
        <v>205</v>
      </c>
      <c r="C23" s="6">
        <v>9</v>
      </c>
      <c r="D23" s="2">
        <f t="shared" si="0"/>
        <v>196</v>
      </c>
      <c r="E23" s="5">
        <v>176</v>
      </c>
      <c r="F23" s="2">
        <f t="shared" si="1"/>
        <v>20</v>
      </c>
      <c r="G23" s="10">
        <f t="shared" si="2"/>
        <v>0.89795918367346939</v>
      </c>
      <c r="P23" s="11"/>
    </row>
    <row r="24" spans="1:16" x14ac:dyDescent="0.25">
      <c r="A24" s="3">
        <v>46104</v>
      </c>
      <c r="B24" s="2">
        <v>205</v>
      </c>
      <c r="C24" s="6">
        <v>9</v>
      </c>
      <c r="D24" s="2">
        <f t="shared" si="0"/>
        <v>196</v>
      </c>
      <c r="E24" s="5">
        <v>190</v>
      </c>
      <c r="F24" s="2">
        <f t="shared" si="1"/>
        <v>6</v>
      </c>
      <c r="G24" s="10">
        <f t="shared" si="2"/>
        <v>0.96938775510204078</v>
      </c>
      <c r="P24" s="11"/>
    </row>
    <row r="25" spans="1:16" x14ac:dyDescent="0.25">
      <c r="A25" s="3">
        <v>46105</v>
      </c>
      <c r="B25" s="2">
        <v>205</v>
      </c>
      <c r="C25" s="6">
        <v>9</v>
      </c>
      <c r="D25" s="2">
        <f t="shared" si="0"/>
        <v>196</v>
      </c>
      <c r="E25" s="5">
        <v>177</v>
      </c>
      <c r="F25" s="2">
        <f t="shared" si="1"/>
        <v>19</v>
      </c>
      <c r="G25" s="10">
        <f t="shared" si="2"/>
        <v>0.90306122448979587</v>
      </c>
      <c r="P25" s="11"/>
    </row>
    <row r="26" spans="1:16" x14ac:dyDescent="0.25">
      <c r="A26" s="3">
        <v>46106</v>
      </c>
      <c r="B26" s="2">
        <v>205</v>
      </c>
      <c r="C26" s="6">
        <v>9</v>
      </c>
      <c r="D26" s="2">
        <f t="shared" si="0"/>
        <v>196</v>
      </c>
      <c r="E26" s="5">
        <v>180</v>
      </c>
      <c r="F26" s="2">
        <f t="shared" si="1"/>
        <v>16</v>
      </c>
      <c r="G26" s="10">
        <f t="shared" si="2"/>
        <v>0.91836734693877553</v>
      </c>
      <c r="P26" s="11"/>
    </row>
    <row r="27" spans="1:16" x14ac:dyDescent="0.25">
      <c r="A27" s="3">
        <v>46107</v>
      </c>
      <c r="B27" s="2">
        <v>205</v>
      </c>
      <c r="C27" s="6">
        <v>9</v>
      </c>
      <c r="D27" s="2">
        <f t="shared" si="0"/>
        <v>196</v>
      </c>
      <c r="E27" s="5">
        <v>175</v>
      </c>
      <c r="F27" s="2">
        <f t="shared" si="1"/>
        <v>21</v>
      </c>
      <c r="G27" s="10">
        <f t="shared" si="2"/>
        <v>0.8928571428571429</v>
      </c>
      <c r="P27" s="11"/>
    </row>
    <row r="28" spans="1:16" x14ac:dyDescent="0.25">
      <c r="A28" s="3">
        <v>46108</v>
      </c>
      <c r="B28" s="2">
        <v>205</v>
      </c>
      <c r="C28" s="6">
        <v>9</v>
      </c>
      <c r="D28" s="2">
        <f t="shared" si="0"/>
        <v>196</v>
      </c>
      <c r="E28" s="5">
        <v>176</v>
      </c>
      <c r="F28" s="2">
        <f t="shared" si="1"/>
        <v>20</v>
      </c>
      <c r="G28" s="10">
        <f t="shared" si="2"/>
        <v>0.89795918367346939</v>
      </c>
      <c r="P28" s="11"/>
    </row>
    <row r="29" spans="1:16" x14ac:dyDescent="0.25">
      <c r="A29" s="3">
        <v>46109</v>
      </c>
      <c r="B29" s="2">
        <v>205</v>
      </c>
      <c r="C29" s="6">
        <v>9</v>
      </c>
      <c r="D29" s="2">
        <f t="shared" si="0"/>
        <v>196</v>
      </c>
      <c r="E29" s="5">
        <v>181</v>
      </c>
      <c r="F29" s="2">
        <f t="shared" si="1"/>
        <v>15</v>
      </c>
      <c r="G29" s="10">
        <f t="shared" si="2"/>
        <v>0.92346938775510201</v>
      </c>
      <c r="P29" s="11"/>
    </row>
    <row r="30" spans="1:16" x14ac:dyDescent="0.25">
      <c r="A30" s="3">
        <v>46110</v>
      </c>
      <c r="B30" s="2">
        <v>205</v>
      </c>
      <c r="C30" s="6">
        <v>9</v>
      </c>
      <c r="D30" s="2">
        <f t="shared" si="0"/>
        <v>196</v>
      </c>
      <c r="E30" s="5">
        <v>191</v>
      </c>
      <c r="F30" s="2">
        <f t="shared" si="1"/>
        <v>5</v>
      </c>
      <c r="G30" s="10">
        <f t="shared" si="2"/>
        <v>0.97448979591836737</v>
      </c>
      <c r="P30" s="11"/>
    </row>
    <row r="31" spans="1:16" x14ac:dyDescent="0.25">
      <c r="A31" s="3">
        <v>46111</v>
      </c>
      <c r="B31" s="2">
        <v>205</v>
      </c>
      <c r="C31" s="6">
        <v>9</v>
      </c>
      <c r="D31" s="2">
        <f t="shared" si="0"/>
        <v>196</v>
      </c>
      <c r="E31" s="5">
        <v>161</v>
      </c>
      <c r="F31" s="2">
        <f t="shared" si="1"/>
        <v>35</v>
      </c>
      <c r="G31" s="10">
        <f t="shared" si="2"/>
        <v>0.8214285714285714</v>
      </c>
      <c r="P31" s="11"/>
    </row>
    <row r="32" spans="1:16" x14ac:dyDescent="0.25">
      <c r="A32" s="3">
        <v>46112</v>
      </c>
      <c r="B32" s="2">
        <v>205</v>
      </c>
      <c r="C32" s="6">
        <v>9</v>
      </c>
      <c r="D32" s="2">
        <f t="shared" si="0"/>
        <v>196</v>
      </c>
      <c r="E32" s="5">
        <v>144</v>
      </c>
      <c r="F32" s="2">
        <f t="shared" si="1"/>
        <v>52</v>
      </c>
      <c r="G32" s="10">
        <f t="shared" si="2"/>
        <v>0.73469387755102045</v>
      </c>
      <c r="P32" s="11"/>
    </row>
    <row r="33" spans="3:5" x14ac:dyDescent="0.25">
      <c r="C33" s="12">
        <f>SUM(C2:C32)</f>
        <v>270</v>
      </c>
      <c r="E33" s="13">
        <f>SUM(E2:E32)</f>
        <v>5660</v>
      </c>
    </row>
  </sheetData>
  <conditionalFormatting sqref="P2:P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AC16-D018-4FEC-A37F-4DE3AD2846C6}">
  <dimension ref="A1:P32"/>
  <sheetViews>
    <sheetView showGridLines="0" zoomScaleNormal="100" workbookViewId="0">
      <selection activeCell="C36" sqref="C36"/>
    </sheetView>
  </sheetViews>
  <sheetFormatPr defaultRowHeight="15" x14ac:dyDescent="0.25"/>
  <cols>
    <col min="1" max="5" width="15.7109375" customWidth="1"/>
    <col min="6" max="6" width="19.140625" bestFit="1" customWidth="1"/>
    <col min="7" max="16" width="15.7109375" customWidth="1"/>
  </cols>
  <sheetData>
    <row r="1" spans="1:16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16" x14ac:dyDescent="0.25">
      <c r="A2" s="3">
        <v>46113</v>
      </c>
      <c r="B2" s="2">
        <v>205</v>
      </c>
      <c r="C2" s="6">
        <v>9</v>
      </c>
      <c r="D2" s="2">
        <f>B2-C2</f>
        <v>196</v>
      </c>
      <c r="E2" s="5">
        <v>154</v>
      </c>
      <c r="F2" s="2">
        <f>D2-E2</f>
        <v>42</v>
      </c>
      <c r="G2" s="10">
        <f>E2/D2</f>
        <v>0.7857142857142857</v>
      </c>
      <c r="P2" s="11"/>
    </row>
    <row r="3" spans="1:16" x14ac:dyDescent="0.25">
      <c r="A3" s="3">
        <v>46114</v>
      </c>
      <c r="B3" s="2">
        <v>205</v>
      </c>
      <c r="C3" s="6">
        <v>9</v>
      </c>
      <c r="D3" s="2">
        <f t="shared" ref="D3:D31" si="0">B3-C3</f>
        <v>196</v>
      </c>
      <c r="E3" s="5">
        <v>165</v>
      </c>
      <c r="F3" s="2">
        <f t="shared" ref="F3:F31" si="1">D3-E3</f>
        <v>31</v>
      </c>
      <c r="G3" s="10">
        <f t="shared" ref="G3:G31" si="2">E3/D3</f>
        <v>0.84183673469387754</v>
      </c>
      <c r="P3" s="11"/>
    </row>
    <row r="4" spans="1:16" x14ac:dyDescent="0.25">
      <c r="A4" s="3">
        <v>46115</v>
      </c>
      <c r="B4" s="2">
        <v>205</v>
      </c>
      <c r="C4" s="6">
        <v>9</v>
      </c>
      <c r="D4" s="2">
        <f t="shared" si="0"/>
        <v>196</v>
      </c>
      <c r="E4" s="5">
        <v>174</v>
      </c>
      <c r="F4" s="2">
        <f t="shared" si="1"/>
        <v>22</v>
      </c>
      <c r="G4" s="10">
        <f t="shared" si="2"/>
        <v>0.88775510204081631</v>
      </c>
      <c r="P4" s="11"/>
    </row>
    <row r="5" spans="1:16" x14ac:dyDescent="0.25">
      <c r="A5" s="3">
        <v>46116</v>
      </c>
      <c r="B5" s="2">
        <v>205</v>
      </c>
      <c r="C5" s="6">
        <v>9</v>
      </c>
      <c r="D5" s="2">
        <f t="shared" si="0"/>
        <v>196</v>
      </c>
      <c r="E5" s="5">
        <v>142</v>
      </c>
      <c r="F5" s="2">
        <f t="shared" si="1"/>
        <v>54</v>
      </c>
      <c r="G5" s="10">
        <f t="shared" si="2"/>
        <v>0.72448979591836737</v>
      </c>
      <c r="P5" s="11"/>
    </row>
    <row r="6" spans="1:16" x14ac:dyDescent="0.25">
      <c r="A6" s="3">
        <v>46117</v>
      </c>
      <c r="B6" s="2">
        <v>205</v>
      </c>
      <c r="C6" s="6">
        <v>9</v>
      </c>
      <c r="D6" s="2">
        <f t="shared" si="0"/>
        <v>196</v>
      </c>
      <c r="E6" s="5">
        <v>142</v>
      </c>
      <c r="F6" s="2">
        <f t="shared" si="1"/>
        <v>54</v>
      </c>
      <c r="G6" s="10">
        <f t="shared" si="2"/>
        <v>0.72448979591836737</v>
      </c>
      <c r="P6" s="11"/>
    </row>
    <row r="7" spans="1:16" x14ac:dyDescent="0.25">
      <c r="A7" s="3">
        <v>46118</v>
      </c>
      <c r="B7" s="2">
        <v>205</v>
      </c>
      <c r="C7" s="6">
        <v>9</v>
      </c>
      <c r="D7" s="2">
        <f t="shared" si="0"/>
        <v>196</v>
      </c>
      <c r="E7" s="5">
        <v>129</v>
      </c>
      <c r="F7" s="2">
        <f t="shared" si="1"/>
        <v>67</v>
      </c>
      <c r="G7" s="10">
        <f t="shared" si="2"/>
        <v>0.65816326530612246</v>
      </c>
      <c r="P7" s="11"/>
    </row>
    <row r="8" spans="1:16" x14ac:dyDescent="0.25">
      <c r="A8" s="3">
        <v>46119</v>
      </c>
      <c r="B8" s="2">
        <v>205</v>
      </c>
      <c r="C8" s="6">
        <v>9</v>
      </c>
      <c r="D8" s="2">
        <f t="shared" si="0"/>
        <v>196</v>
      </c>
      <c r="E8" s="5">
        <v>143</v>
      </c>
      <c r="F8" s="2">
        <f t="shared" si="1"/>
        <v>53</v>
      </c>
      <c r="G8" s="10">
        <f t="shared" si="2"/>
        <v>0.72959183673469385</v>
      </c>
      <c r="P8" s="11"/>
    </row>
    <row r="9" spans="1:16" x14ac:dyDescent="0.25">
      <c r="A9" s="3">
        <v>46120</v>
      </c>
      <c r="B9" s="2">
        <v>205</v>
      </c>
      <c r="C9" s="6">
        <v>9</v>
      </c>
      <c r="D9" s="2">
        <f t="shared" si="0"/>
        <v>196</v>
      </c>
      <c r="E9" s="5">
        <v>152</v>
      </c>
      <c r="F9" s="2">
        <f t="shared" si="1"/>
        <v>44</v>
      </c>
      <c r="G9" s="10">
        <f t="shared" si="2"/>
        <v>0.77551020408163263</v>
      </c>
      <c r="P9" s="11"/>
    </row>
    <row r="10" spans="1:16" x14ac:dyDescent="0.25">
      <c r="A10" s="3">
        <v>46121</v>
      </c>
      <c r="B10" s="2">
        <v>205</v>
      </c>
      <c r="C10" s="6">
        <v>9</v>
      </c>
      <c r="D10" s="2">
        <f t="shared" si="0"/>
        <v>196</v>
      </c>
      <c r="E10" s="5">
        <v>180</v>
      </c>
      <c r="F10" s="2">
        <f t="shared" si="1"/>
        <v>16</v>
      </c>
      <c r="G10" s="10">
        <f t="shared" si="2"/>
        <v>0.91836734693877553</v>
      </c>
      <c r="P10" s="11"/>
    </row>
    <row r="11" spans="1:16" x14ac:dyDescent="0.25">
      <c r="A11" s="3">
        <v>46122</v>
      </c>
      <c r="B11" s="2">
        <v>205</v>
      </c>
      <c r="C11" s="6">
        <v>9</v>
      </c>
      <c r="D11" s="2">
        <f t="shared" si="0"/>
        <v>196</v>
      </c>
      <c r="E11" s="5">
        <v>185</v>
      </c>
      <c r="F11" s="2">
        <f t="shared" si="1"/>
        <v>11</v>
      </c>
      <c r="G11" s="10">
        <f t="shared" si="2"/>
        <v>0.94387755102040816</v>
      </c>
      <c r="P11" s="11"/>
    </row>
    <row r="12" spans="1:16" x14ac:dyDescent="0.25">
      <c r="A12" s="3">
        <v>46123</v>
      </c>
      <c r="B12" s="2">
        <v>205</v>
      </c>
      <c r="C12" s="6">
        <v>9</v>
      </c>
      <c r="D12" s="2">
        <f t="shared" si="0"/>
        <v>196</v>
      </c>
      <c r="E12" s="5">
        <v>171</v>
      </c>
      <c r="F12" s="2">
        <f t="shared" si="1"/>
        <v>25</v>
      </c>
      <c r="G12" s="10">
        <f t="shared" si="2"/>
        <v>0.87244897959183676</v>
      </c>
      <c r="P12" s="11"/>
    </row>
    <row r="13" spans="1:16" x14ac:dyDescent="0.25">
      <c r="A13" s="3">
        <v>46124</v>
      </c>
      <c r="B13" s="2">
        <v>205</v>
      </c>
      <c r="C13" s="6">
        <v>9</v>
      </c>
      <c r="D13" s="2">
        <f t="shared" si="0"/>
        <v>196</v>
      </c>
      <c r="E13" s="5">
        <v>185</v>
      </c>
      <c r="F13" s="2">
        <f t="shared" si="1"/>
        <v>11</v>
      </c>
      <c r="G13" s="10">
        <f t="shared" si="2"/>
        <v>0.94387755102040816</v>
      </c>
      <c r="P13" s="11"/>
    </row>
    <row r="14" spans="1:16" x14ac:dyDescent="0.25">
      <c r="A14" s="3">
        <v>46125</v>
      </c>
      <c r="B14" s="2">
        <v>205</v>
      </c>
      <c r="C14" s="6">
        <v>9</v>
      </c>
      <c r="D14" s="2">
        <f t="shared" si="0"/>
        <v>196</v>
      </c>
      <c r="E14" s="5">
        <v>186</v>
      </c>
      <c r="F14" s="2">
        <f t="shared" si="1"/>
        <v>10</v>
      </c>
      <c r="G14" s="10">
        <f t="shared" si="2"/>
        <v>0.94897959183673475</v>
      </c>
      <c r="P14" s="11"/>
    </row>
    <row r="15" spans="1:16" x14ac:dyDescent="0.25">
      <c r="A15" s="3">
        <v>46126</v>
      </c>
      <c r="B15" s="2">
        <v>205</v>
      </c>
      <c r="C15" s="6">
        <v>9</v>
      </c>
      <c r="D15" s="2">
        <f t="shared" si="0"/>
        <v>196</v>
      </c>
      <c r="E15" s="5">
        <v>175</v>
      </c>
      <c r="F15" s="2">
        <f t="shared" si="1"/>
        <v>21</v>
      </c>
      <c r="G15" s="10">
        <f t="shared" si="2"/>
        <v>0.8928571428571429</v>
      </c>
      <c r="P15" s="11"/>
    </row>
    <row r="16" spans="1:16" x14ac:dyDescent="0.25">
      <c r="A16" s="3">
        <v>46127</v>
      </c>
      <c r="B16" s="2">
        <v>205</v>
      </c>
      <c r="C16" s="6">
        <v>9</v>
      </c>
      <c r="D16" s="2">
        <f t="shared" si="0"/>
        <v>196</v>
      </c>
      <c r="E16" s="5">
        <v>176</v>
      </c>
      <c r="F16" s="2">
        <f t="shared" si="1"/>
        <v>20</v>
      </c>
      <c r="G16" s="10">
        <f t="shared" si="2"/>
        <v>0.89795918367346939</v>
      </c>
      <c r="P16" s="11"/>
    </row>
    <row r="17" spans="1:16" x14ac:dyDescent="0.25">
      <c r="A17" s="3">
        <v>46128</v>
      </c>
      <c r="B17" s="2">
        <v>205</v>
      </c>
      <c r="C17" s="6">
        <v>9</v>
      </c>
      <c r="D17" s="2">
        <f t="shared" si="0"/>
        <v>196</v>
      </c>
      <c r="E17" s="5">
        <v>178</v>
      </c>
      <c r="F17" s="2">
        <f t="shared" si="1"/>
        <v>18</v>
      </c>
      <c r="G17" s="10">
        <f t="shared" si="2"/>
        <v>0.90816326530612246</v>
      </c>
      <c r="P17" s="11"/>
    </row>
    <row r="18" spans="1:16" x14ac:dyDescent="0.25">
      <c r="A18" s="3">
        <v>46129</v>
      </c>
      <c r="B18" s="2">
        <v>205</v>
      </c>
      <c r="C18" s="6">
        <v>9</v>
      </c>
      <c r="D18" s="2">
        <f t="shared" si="0"/>
        <v>196</v>
      </c>
      <c r="E18" s="5">
        <v>177</v>
      </c>
      <c r="F18" s="2">
        <f t="shared" si="1"/>
        <v>19</v>
      </c>
      <c r="G18" s="10">
        <f t="shared" si="2"/>
        <v>0.90306122448979587</v>
      </c>
      <c r="P18" s="11"/>
    </row>
    <row r="19" spans="1:16" x14ac:dyDescent="0.25">
      <c r="A19" s="3">
        <v>46130</v>
      </c>
      <c r="B19" s="2">
        <v>205</v>
      </c>
      <c r="C19" s="6">
        <v>9</v>
      </c>
      <c r="D19" s="2">
        <f t="shared" si="0"/>
        <v>196</v>
      </c>
      <c r="E19" s="5">
        <v>180</v>
      </c>
      <c r="F19" s="2">
        <f t="shared" si="1"/>
        <v>16</v>
      </c>
      <c r="G19" s="10">
        <f t="shared" si="2"/>
        <v>0.91836734693877553</v>
      </c>
      <c r="P19" s="11"/>
    </row>
    <row r="20" spans="1:16" x14ac:dyDescent="0.25">
      <c r="A20" s="3">
        <v>46131</v>
      </c>
      <c r="B20" s="2">
        <v>205</v>
      </c>
      <c r="C20" s="6">
        <v>9</v>
      </c>
      <c r="D20" s="2">
        <f t="shared" si="0"/>
        <v>196</v>
      </c>
      <c r="E20" s="5">
        <v>152</v>
      </c>
      <c r="F20" s="2">
        <f t="shared" si="1"/>
        <v>44</v>
      </c>
      <c r="G20" s="10">
        <f t="shared" si="2"/>
        <v>0.77551020408163263</v>
      </c>
      <c r="P20" s="11"/>
    </row>
    <row r="21" spans="1:16" x14ac:dyDescent="0.25">
      <c r="A21" s="3">
        <v>46132</v>
      </c>
      <c r="B21" s="2">
        <v>205</v>
      </c>
      <c r="C21" s="6">
        <v>9</v>
      </c>
      <c r="D21" s="2">
        <f t="shared" si="0"/>
        <v>196</v>
      </c>
      <c r="E21" s="5">
        <v>161</v>
      </c>
      <c r="F21" s="2">
        <f t="shared" si="1"/>
        <v>35</v>
      </c>
      <c r="G21" s="10">
        <f t="shared" si="2"/>
        <v>0.8214285714285714</v>
      </c>
      <c r="P21" s="11"/>
    </row>
    <row r="22" spans="1:16" x14ac:dyDescent="0.25">
      <c r="A22" s="3">
        <v>46133</v>
      </c>
      <c r="B22" s="2">
        <v>205</v>
      </c>
      <c r="C22" s="6">
        <v>9</v>
      </c>
      <c r="D22" s="2">
        <f t="shared" si="0"/>
        <v>196</v>
      </c>
      <c r="E22" s="5">
        <v>146</v>
      </c>
      <c r="F22" s="2">
        <f t="shared" si="1"/>
        <v>50</v>
      </c>
      <c r="G22" s="10">
        <f t="shared" si="2"/>
        <v>0.74489795918367352</v>
      </c>
      <c r="P22" s="11"/>
    </row>
    <row r="23" spans="1:16" x14ac:dyDescent="0.25">
      <c r="A23" s="3">
        <v>46134</v>
      </c>
      <c r="B23" s="2">
        <v>205</v>
      </c>
      <c r="C23" s="6">
        <v>9</v>
      </c>
      <c r="D23" s="2">
        <f t="shared" si="0"/>
        <v>196</v>
      </c>
      <c r="E23" s="5">
        <v>150</v>
      </c>
      <c r="F23" s="2">
        <f t="shared" si="1"/>
        <v>46</v>
      </c>
      <c r="G23" s="10">
        <f t="shared" si="2"/>
        <v>0.76530612244897955</v>
      </c>
      <c r="P23" s="11"/>
    </row>
    <row r="24" spans="1:16" x14ac:dyDescent="0.25">
      <c r="A24" s="3">
        <v>46135</v>
      </c>
      <c r="B24" s="2">
        <v>205</v>
      </c>
      <c r="C24" s="6">
        <v>9</v>
      </c>
      <c r="D24" s="2">
        <f t="shared" si="0"/>
        <v>196</v>
      </c>
      <c r="E24" s="5">
        <v>153</v>
      </c>
      <c r="F24" s="2">
        <f t="shared" si="1"/>
        <v>43</v>
      </c>
      <c r="G24" s="10">
        <f t="shared" si="2"/>
        <v>0.78061224489795922</v>
      </c>
      <c r="P24" s="11"/>
    </row>
    <row r="25" spans="1:16" x14ac:dyDescent="0.25">
      <c r="A25" s="3">
        <v>46136</v>
      </c>
      <c r="B25" s="2">
        <v>205</v>
      </c>
      <c r="C25" s="6">
        <v>9</v>
      </c>
      <c r="D25" s="2">
        <f t="shared" si="0"/>
        <v>196</v>
      </c>
      <c r="E25" s="5">
        <v>151</v>
      </c>
      <c r="F25" s="2">
        <f t="shared" si="1"/>
        <v>45</v>
      </c>
      <c r="G25" s="10">
        <f t="shared" si="2"/>
        <v>0.77040816326530615</v>
      </c>
      <c r="P25" s="11"/>
    </row>
    <row r="26" spans="1:16" x14ac:dyDescent="0.25">
      <c r="A26" s="3">
        <v>46137</v>
      </c>
      <c r="B26" s="2">
        <v>205</v>
      </c>
      <c r="C26" s="6">
        <v>9</v>
      </c>
      <c r="D26" s="2">
        <f t="shared" si="0"/>
        <v>196</v>
      </c>
      <c r="E26" s="5">
        <v>115</v>
      </c>
      <c r="F26" s="2">
        <f t="shared" si="1"/>
        <v>81</v>
      </c>
      <c r="G26" s="10">
        <f t="shared" si="2"/>
        <v>0.58673469387755106</v>
      </c>
      <c r="P26" s="11"/>
    </row>
    <row r="27" spans="1:16" x14ac:dyDescent="0.25">
      <c r="A27" s="3">
        <v>46138</v>
      </c>
      <c r="B27" s="2">
        <v>205</v>
      </c>
      <c r="C27" s="6">
        <v>9</v>
      </c>
      <c r="D27" s="2">
        <f t="shared" si="0"/>
        <v>196</v>
      </c>
      <c r="E27" s="5">
        <v>119</v>
      </c>
      <c r="F27" s="2">
        <f t="shared" si="1"/>
        <v>77</v>
      </c>
      <c r="G27" s="10">
        <f t="shared" si="2"/>
        <v>0.6071428571428571</v>
      </c>
      <c r="P27" s="11"/>
    </row>
    <row r="28" spans="1:16" x14ac:dyDescent="0.25">
      <c r="A28" s="3">
        <v>46139</v>
      </c>
      <c r="B28" s="2">
        <v>205</v>
      </c>
      <c r="C28" s="6">
        <v>9</v>
      </c>
      <c r="D28" s="2">
        <f t="shared" si="0"/>
        <v>196</v>
      </c>
      <c r="E28" s="5">
        <v>99</v>
      </c>
      <c r="F28" s="2">
        <f t="shared" si="1"/>
        <v>97</v>
      </c>
      <c r="G28" s="10">
        <f t="shared" si="2"/>
        <v>0.50510204081632648</v>
      </c>
      <c r="P28" s="11"/>
    </row>
    <row r="29" spans="1:16" x14ac:dyDescent="0.25">
      <c r="A29" s="3">
        <v>46140</v>
      </c>
      <c r="B29" s="2">
        <v>205</v>
      </c>
      <c r="C29" s="6">
        <v>9</v>
      </c>
      <c r="D29" s="2">
        <f t="shared" si="0"/>
        <v>196</v>
      </c>
      <c r="E29" s="5">
        <v>107</v>
      </c>
      <c r="F29" s="2">
        <f t="shared" si="1"/>
        <v>89</v>
      </c>
      <c r="G29" s="10">
        <f t="shared" si="2"/>
        <v>0.54591836734693877</v>
      </c>
      <c r="P29" s="11"/>
    </row>
    <row r="30" spans="1:16" x14ac:dyDescent="0.25">
      <c r="A30" s="3">
        <v>46141</v>
      </c>
      <c r="B30" s="2">
        <v>205</v>
      </c>
      <c r="C30" s="6">
        <v>9</v>
      </c>
      <c r="D30" s="2">
        <f t="shared" si="0"/>
        <v>196</v>
      </c>
      <c r="E30" s="5">
        <v>94</v>
      </c>
      <c r="F30" s="2">
        <f t="shared" si="1"/>
        <v>102</v>
      </c>
      <c r="G30" s="10">
        <f t="shared" si="2"/>
        <v>0.47959183673469385</v>
      </c>
      <c r="P30" s="11"/>
    </row>
    <row r="31" spans="1:16" x14ac:dyDescent="0.25">
      <c r="A31" s="3">
        <v>46142</v>
      </c>
      <c r="B31" s="2">
        <v>205</v>
      </c>
      <c r="C31" s="6">
        <v>9</v>
      </c>
      <c r="D31" s="2">
        <f t="shared" si="0"/>
        <v>196</v>
      </c>
      <c r="E31" s="5">
        <v>75</v>
      </c>
      <c r="F31" s="2">
        <f t="shared" si="1"/>
        <v>121</v>
      </c>
      <c r="G31" s="10">
        <f t="shared" si="2"/>
        <v>0.38265306122448978</v>
      </c>
      <c r="P31" s="11"/>
    </row>
    <row r="32" spans="1:16" x14ac:dyDescent="0.25">
      <c r="C32" s="12">
        <f>SUM(C2:C31)</f>
        <v>270</v>
      </c>
      <c r="E32" s="13">
        <f>SUM(E2:E31)</f>
        <v>4516</v>
      </c>
    </row>
  </sheetData>
  <conditionalFormatting sqref="P2:P3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3DB5-11A9-43E9-AE27-28578C4A0CB9}">
  <dimension ref="A1:P33"/>
  <sheetViews>
    <sheetView showGridLines="0" zoomScaleNormal="100" workbookViewId="0">
      <selection activeCell="C35" sqref="C35"/>
    </sheetView>
  </sheetViews>
  <sheetFormatPr defaultRowHeight="15" x14ac:dyDescent="0.25"/>
  <cols>
    <col min="1" max="5" width="15.7109375" customWidth="1"/>
    <col min="6" max="6" width="19.140625" bestFit="1" customWidth="1"/>
    <col min="7" max="16" width="15.7109375" customWidth="1"/>
  </cols>
  <sheetData>
    <row r="1" spans="1:16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16" x14ac:dyDescent="0.25">
      <c r="A2" s="3">
        <v>46143</v>
      </c>
      <c r="B2" s="2">
        <v>205</v>
      </c>
      <c r="C2" s="6">
        <v>9</v>
      </c>
      <c r="D2" s="2">
        <f>B2-C2</f>
        <v>196</v>
      </c>
      <c r="E2" s="5">
        <v>96</v>
      </c>
      <c r="F2" s="2">
        <f>D2-E2</f>
        <v>100</v>
      </c>
      <c r="G2" s="10">
        <f>E2/D2</f>
        <v>0.48979591836734693</v>
      </c>
      <c r="P2" s="11"/>
    </row>
    <row r="3" spans="1:16" x14ac:dyDescent="0.25">
      <c r="A3" s="3">
        <v>46144</v>
      </c>
      <c r="B3" s="2">
        <v>205</v>
      </c>
      <c r="C3" s="6">
        <v>9</v>
      </c>
      <c r="D3" s="2">
        <f t="shared" ref="D3:D32" si="0">B3-C3</f>
        <v>196</v>
      </c>
      <c r="E3" s="5">
        <v>98</v>
      </c>
      <c r="F3" s="2">
        <f t="shared" ref="F3:F32" si="1">D3-E3</f>
        <v>98</v>
      </c>
      <c r="G3" s="10">
        <f t="shared" ref="G3:G32" si="2">E3/D3</f>
        <v>0.5</v>
      </c>
      <c r="P3" s="11"/>
    </row>
    <row r="4" spans="1:16" x14ac:dyDescent="0.25">
      <c r="A4" s="3">
        <v>46145</v>
      </c>
      <c r="B4" s="2">
        <v>205</v>
      </c>
      <c r="C4" s="6">
        <v>9</v>
      </c>
      <c r="D4" s="2">
        <f t="shared" si="0"/>
        <v>196</v>
      </c>
      <c r="E4" s="5">
        <v>109</v>
      </c>
      <c r="F4" s="2">
        <f t="shared" si="1"/>
        <v>87</v>
      </c>
      <c r="G4" s="10">
        <f t="shared" si="2"/>
        <v>0.55612244897959184</v>
      </c>
      <c r="P4" s="11"/>
    </row>
    <row r="5" spans="1:16" x14ac:dyDescent="0.25">
      <c r="A5" s="3">
        <v>46146</v>
      </c>
      <c r="B5" s="2">
        <v>205</v>
      </c>
      <c r="C5" s="6">
        <v>9</v>
      </c>
      <c r="D5" s="2">
        <f t="shared" si="0"/>
        <v>196</v>
      </c>
      <c r="E5" s="5">
        <v>111</v>
      </c>
      <c r="F5" s="2">
        <f t="shared" si="1"/>
        <v>85</v>
      </c>
      <c r="G5" s="10">
        <f t="shared" si="2"/>
        <v>0.56632653061224492</v>
      </c>
      <c r="P5" s="11"/>
    </row>
    <row r="6" spans="1:16" x14ac:dyDescent="0.25">
      <c r="A6" s="3">
        <v>46147</v>
      </c>
      <c r="B6" s="2">
        <v>205</v>
      </c>
      <c r="C6" s="6">
        <v>9</v>
      </c>
      <c r="D6" s="2">
        <f t="shared" si="0"/>
        <v>196</v>
      </c>
      <c r="E6" s="5">
        <v>120</v>
      </c>
      <c r="F6" s="2">
        <f t="shared" si="1"/>
        <v>76</v>
      </c>
      <c r="G6" s="10">
        <f t="shared" si="2"/>
        <v>0.61224489795918369</v>
      </c>
      <c r="P6" s="11"/>
    </row>
    <row r="7" spans="1:16" x14ac:dyDescent="0.25">
      <c r="A7" s="3">
        <v>46148</v>
      </c>
      <c r="B7" s="2">
        <v>205</v>
      </c>
      <c r="C7" s="6">
        <v>9</v>
      </c>
      <c r="D7" s="2">
        <f t="shared" si="0"/>
        <v>196</v>
      </c>
      <c r="E7" s="5">
        <v>129</v>
      </c>
      <c r="F7" s="2">
        <f t="shared" si="1"/>
        <v>67</v>
      </c>
      <c r="G7" s="10">
        <f t="shared" si="2"/>
        <v>0.65816326530612246</v>
      </c>
      <c r="P7" s="11"/>
    </row>
    <row r="8" spans="1:16" x14ac:dyDescent="0.25">
      <c r="A8" s="3">
        <v>46149</v>
      </c>
      <c r="B8" s="2">
        <v>205</v>
      </c>
      <c r="C8" s="6">
        <v>9</v>
      </c>
      <c r="D8" s="2">
        <f t="shared" si="0"/>
        <v>196</v>
      </c>
      <c r="E8" s="5">
        <v>158</v>
      </c>
      <c r="F8" s="2">
        <f t="shared" si="1"/>
        <v>38</v>
      </c>
      <c r="G8" s="10">
        <f t="shared" si="2"/>
        <v>0.80612244897959184</v>
      </c>
      <c r="P8" s="11"/>
    </row>
    <row r="9" spans="1:16" x14ac:dyDescent="0.25">
      <c r="A9" s="3">
        <v>46150</v>
      </c>
      <c r="B9" s="2">
        <v>205</v>
      </c>
      <c r="C9" s="6">
        <v>9</v>
      </c>
      <c r="D9" s="2">
        <f t="shared" si="0"/>
        <v>196</v>
      </c>
      <c r="E9" s="5">
        <v>135</v>
      </c>
      <c r="F9" s="2">
        <f t="shared" si="1"/>
        <v>61</v>
      </c>
      <c r="G9" s="10">
        <f t="shared" si="2"/>
        <v>0.68877551020408168</v>
      </c>
      <c r="P9" s="11"/>
    </row>
    <row r="10" spans="1:16" x14ac:dyDescent="0.25">
      <c r="A10" s="3">
        <v>46151</v>
      </c>
      <c r="B10" s="2">
        <v>205</v>
      </c>
      <c r="C10" s="6">
        <v>9</v>
      </c>
      <c r="D10" s="2">
        <f t="shared" si="0"/>
        <v>196</v>
      </c>
      <c r="E10" s="5">
        <v>140</v>
      </c>
      <c r="F10" s="2">
        <f t="shared" si="1"/>
        <v>56</v>
      </c>
      <c r="G10" s="10">
        <f t="shared" si="2"/>
        <v>0.7142857142857143</v>
      </c>
      <c r="P10" s="11"/>
    </row>
    <row r="11" spans="1:16" x14ac:dyDescent="0.25">
      <c r="A11" s="3">
        <v>46152</v>
      </c>
      <c r="B11" s="2">
        <v>205</v>
      </c>
      <c r="C11" s="6">
        <v>9</v>
      </c>
      <c r="D11" s="2">
        <f t="shared" si="0"/>
        <v>196</v>
      </c>
      <c r="E11" s="5">
        <v>166</v>
      </c>
      <c r="F11" s="2">
        <f t="shared" si="1"/>
        <v>30</v>
      </c>
      <c r="G11" s="10">
        <f t="shared" si="2"/>
        <v>0.84693877551020413</v>
      </c>
      <c r="P11" s="11"/>
    </row>
    <row r="12" spans="1:16" x14ac:dyDescent="0.25">
      <c r="A12" s="3">
        <v>46153</v>
      </c>
      <c r="B12" s="2">
        <v>205</v>
      </c>
      <c r="C12" s="6">
        <v>9</v>
      </c>
      <c r="D12" s="2">
        <f t="shared" si="0"/>
        <v>196</v>
      </c>
      <c r="E12" s="5">
        <v>162</v>
      </c>
      <c r="F12" s="2">
        <f t="shared" si="1"/>
        <v>34</v>
      </c>
      <c r="G12" s="10">
        <f t="shared" si="2"/>
        <v>0.82653061224489799</v>
      </c>
      <c r="P12" s="11"/>
    </row>
    <row r="13" spans="1:16" x14ac:dyDescent="0.25">
      <c r="A13" s="3">
        <v>46154</v>
      </c>
      <c r="B13" s="2">
        <v>205</v>
      </c>
      <c r="C13" s="6">
        <v>9</v>
      </c>
      <c r="D13" s="2">
        <f t="shared" si="0"/>
        <v>196</v>
      </c>
      <c r="E13" s="5">
        <v>168</v>
      </c>
      <c r="F13" s="2">
        <f t="shared" si="1"/>
        <v>28</v>
      </c>
      <c r="G13" s="10">
        <f t="shared" si="2"/>
        <v>0.8571428571428571</v>
      </c>
      <c r="P13" s="11"/>
    </row>
    <row r="14" spans="1:16" x14ac:dyDescent="0.25">
      <c r="A14" s="3">
        <v>46155</v>
      </c>
      <c r="B14" s="2">
        <v>205</v>
      </c>
      <c r="C14" s="6">
        <v>9</v>
      </c>
      <c r="D14" s="2">
        <f t="shared" si="0"/>
        <v>196</v>
      </c>
      <c r="E14" s="5">
        <v>165</v>
      </c>
      <c r="F14" s="2">
        <f t="shared" si="1"/>
        <v>31</v>
      </c>
      <c r="G14" s="10">
        <f t="shared" si="2"/>
        <v>0.84183673469387754</v>
      </c>
      <c r="P14" s="11"/>
    </row>
    <row r="15" spans="1:16" x14ac:dyDescent="0.25">
      <c r="A15" s="3">
        <v>46156</v>
      </c>
      <c r="B15" s="2">
        <v>205</v>
      </c>
      <c r="C15" s="6">
        <v>9</v>
      </c>
      <c r="D15" s="2">
        <f t="shared" si="0"/>
        <v>196</v>
      </c>
      <c r="E15" s="5">
        <v>171</v>
      </c>
      <c r="F15" s="2">
        <f t="shared" si="1"/>
        <v>25</v>
      </c>
      <c r="G15" s="10">
        <f t="shared" si="2"/>
        <v>0.87244897959183676</v>
      </c>
      <c r="P15" s="11"/>
    </row>
    <row r="16" spans="1:16" x14ac:dyDescent="0.25">
      <c r="A16" s="3">
        <v>46157</v>
      </c>
      <c r="B16" s="2">
        <v>205</v>
      </c>
      <c r="C16" s="6">
        <v>9</v>
      </c>
      <c r="D16" s="2">
        <f t="shared" si="0"/>
        <v>196</v>
      </c>
      <c r="E16" s="5">
        <v>163</v>
      </c>
      <c r="F16" s="2">
        <f t="shared" si="1"/>
        <v>33</v>
      </c>
      <c r="G16" s="10">
        <f t="shared" si="2"/>
        <v>0.83163265306122447</v>
      </c>
      <c r="P16" s="11"/>
    </row>
    <row r="17" spans="1:16" x14ac:dyDescent="0.25">
      <c r="A17" s="3">
        <v>46158</v>
      </c>
      <c r="B17" s="2">
        <v>205</v>
      </c>
      <c r="C17" s="6">
        <v>9</v>
      </c>
      <c r="D17" s="2">
        <f t="shared" si="0"/>
        <v>196</v>
      </c>
      <c r="E17" s="5">
        <v>139</v>
      </c>
      <c r="F17" s="2">
        <f t="shared" si="1"/>
        <v>57</v>
      </c>
      <c r="G17" s="10">
        <f t="shared" si="2"/>
        <v>0.70918367346938771</v>
      </c>
      <c r="P17" s="11"/>
    </row>
    <row r="18" spans="1:16" x14ac:dyDescent="0.25">
      <c r="A18" s="3">
        <v>46159</v>
      </c>
      <c r="B18" s="2">
        <v>205</v>
      </c>
      <c r="C18" s="6">
        <v>9</v>
      </c>
      <c r="D18" s="2">
        <f t="shared" si="0"/>
        <v>196</v>
      </c>
      <c r="E18" s="5">
        <v>162</v>
      </c>
      <c r="F18" s="2">
        <f t="shared" si="1"/>
        <v>34</v>
      </c>
      <c r="G18" s="10">
        <f t="shared" si="2"/>
        <v>0.82653061224489799</v>
      </c>
      <c r="P18" s="11"/>
    </row>
    <row r="19" spans="1:16" x14ac:dyDescent="0.25">
      <c r="A19" s="3">
        <v>46160</v>
      </c>
      <c r="B19" s="2">
        <v>205</v>
      </c>
      <c r="C19" s="6">
        <v>9</v>
      </c>
      <c r="D19" s="2">
        <f t="shared" si="0"/>
        <v>196</v>
      </c>
      <c r="E19" s="5">
        <v>155</v>
      </c>
      <c r="F19" s="2">
        <f t="shared" si="1"/>
        <v>41</v>
      </c>
      <c r="G19" s="10">
        <f t="shared" si="2"/>
        <v>0.79081632653061229</v>
      </c>
      <c r="P19" s="11"/>
    </row>
    <row r="20" spans="1:16" x14ac:dyDescent="0.25">
      <c r="A20" s="3">
        <v>46161</v>
      </c>
      <c r="B20" s="2">
        <v>205</v>
      </c>
      <c r="C20" s="6">
        <v>9</v>
      </c>
      <c r="D20" s="2">
        <f t="shared" si="0"/>
        <v>196</v>
      </c>
      <c r="E20" s="5">
        <v>150</v>
      </c>
      <c r="F20" s="2">
        <f t="shared" si="1"/>
        <v>46</v>
      </c>
      <c r="G20" s="10">
        <f t="shared" si="2"/>
        <v>0.76530612244897955</v>
      </c>
      <c r="P20" s="11"/>
    </row>
    <row r="21" spans="1:16" x14ac:dyDescent="0.25">
      <c r="A21" s="3">
        <v>46162</v>
      </c>
      <c r="B21" s="2">
        <v>205</v>
      </c>
      <c r="C21" s="6">
        <v>9</v>
      </c>
      <c r="D21" s="2">
        <f t="shared" si="0"/>
        <v>196</v>
      </c>
      <c r="E21" s="5">
        <v>148</v>
      </c>
      <c r="F21" s="2">
        <f t="shared" si="1"/>
        <v>48</v>
      </c>
      <c r="G21" s="10">
        <f t="shared" si="2"/>
        <v>0.75510204081632648</v>
      </c>
      <c r="P21" s="11"/>
    </row>
    <row r="22" spans="1:16" x14ac:dyDescent="0.25">
      <c r="A22" s="3">
        <v>46163</v>
      </c>
      <c r="B22" s="2">
        <v>205</v>
      </c>
      <c r="C22" s="6">
        <v>9</v>
      </c>
      <c r="D22" s="2">
        <f t="shared" si="0"/>
        <v>196</v>
      </c>
      <c r="E22" s="5">
        <v>145</v>
      </c>
      <c r="F22" s="2">
        <f t="shared" si="1"/>
        <v>51</v>
      </c>
      <c r="G22" s="10">
        <f t="shared" si="2"/>
        <v>0.73979591836734693</v>
      </c>
      <c r="P22" s="11"/>
    </row>
    <row r="23" spans="1:16" x14ac:dyDescent="0.25">
      <c r="A23" s="3">
        <v>46164</v>
      </c>
      <c r="B23" s="2">
        <v>205</v>
      </c>
      <c r="C23" s="6">
        <v>9</v>
      </c>
      <c r="D23" s="2">
        <f t="shared" si="0"/>
        <v>196</v>
      </c>
      <c r="E23" s="5">
        <v>156</v>
      </c>
      <c r="F23" s="2">
        <f t="shared" si="1"/>
        <v>40</v>
      </c>
      <c r="G23" s="10">
        <f t="shared" si="2"/>
        <v>0.79591836734693877</v>
      </c>
      <c r="P23" s="11"/>
    </row>
    <row r="24" spans="1:16" x14ac:dyDescent="0.25">
      <c r="A24" s="3">
        <v>46165</v>
      </c>
      <c r="B24" s="2">
        <v>205</v>
      </c>
      <c r="C24" s="6">
        <v>9</v>
      </c>
      <c r="D24" s="2">
        <f t="shared" si="0"/>
        <v>196</v>
      </c>
      <c r="E24" s="5">
        <v>122</v>
      </c>
      <c r="F24" s="2">
        <f t="shared" si="1"/>
        <v>74</v>
      </c>
      <c r="G24" s="10">
        <f t="shared" si="2"/>
        <v>0.62244897959183676</v>
      </c>
      <c r="P24" s="11"/>
    </row>
    <row r="25" spans="1:16" x14ac:dyDescent="0.25">
      <c r="A25" s="3">
        <v>46166</v>
      </c>
      <c r="B25" s="2">
        <v>205</v>
      </c>
      <c r="C25" s="6">
        <v>9</v>
      </c>
      <c r="D25" s="2">
        <f t="shared" si="0"/>
        <v>196</v>
      </c>
      <c r="E25" s="5">
        <v>138</v>
      </c>
      <c r="F25" s="2">
        <f t="shared" si="1"/>
        <v>58</v>
      </c>
      <c r="G25" s="10">
        <f t="shared" si="2"/>
        <v>0.70408163265306123</v>
      </c>
      <c r="P25" s="11"/>
    </row>
    <row r="26" spans="1:16" x14ac:dyDescent="0.25">
      <c r="A26" s="3">
        <v>46167</v>
      </c>
      <c r="B26" s="2">
        <v>205</v>
      </c>
      <c r="C26" s="6">
        <v>9</v>
      </c>
      <c r="D26" s="2">
        <f t="shared" si="0"/>
        <v>196</v>
      </c>
      <c r="E26" s="5">
        <v>132</v>
      </c>
      <c r="F26" s="2">
        <f t="shared" si="1"/>
        <v>64</v>
      </c>
      <c r="G26" s="10">
        <f t="shared" si="2"/>
        <v>0.67346938775510201</v>
      </c>
      <c r="P26" s="11"/>
    </row>
    <row r="27" spans="1:16" x14ac:dyDescent="0.25">
      <c r="A27" s="3">
        <v>46168</v>
      </c>
      <c r="B27" s="2">
        <v>205</v>
      </c>
      <c r="C27" s="6">
        <v>9</v>
      </c>
      <c r="D27" s="2">
        <f t="shared" si="0"/>
        <v>196</v>
      </c>
      <c r="E27" s="5">
        <v>120</v>
      </c>
      <c r="F27" s="2">
        <f t="shared" si="1"/>
        <v>76</v>
      </c>
      <c r="G27" s="10">
        <f t="shared" si="2"/>
        <v>0.61224489795918369</v>
      </c>
      <c r="P27" s="11"/>
    </row>
    <row r="28" spans="1:16" x14ac:dyDescent="0.25">
      <c r="A28" s="3">
        <v>46169</v>
      </c>
      <c r="B28" s="2">
        <v>205</v>
      </c>
      <c r="C28" s="6">
        <v>9</v>
      </c>
      <c r="D28" s="2">
        <f t="shared" si="0"/>
        <v>196</v>
      </c>
      <c r="E28" s="5">
        <v>138</v>
      </c>
      <c r="F28" s="2">
        <f t="shared" si="1"/>
        <v>58</v>
      </c>
      <c r="G28" s="10">
        <f t="shared" si="2"/>
        <v>0.70408163265306123</v>
      </c>
      <c r="P28" s="11"/>
    </row>
    <row r="29" spans="1:16" x14ac:dyDescent="0.25">
      <c r="A29" s="3">
        <v>46170</v>
      </c>
      <c r="B29" s="2">
        <v>205</v>
      </c>
      <c r="C29" s="6">
        <v>9</v>
      </c>
      <c r="D29" s="2">
        <f t="shared" si="0"/>
        <v>196</v>
      </c>
      <c r="E29" s="5">
        <v>127</v>
      </c>
      <c r="F29" s="2">
        <f t="shared" si="1"/>
        <v>69</v>
      </c>
      <c r="G29" s="10">
        <f t="shared" si="2"/>
        <v>0.64795918367346939</v>
      </c>
      <c r="P29" s="11"/>
    </row>
    <row r="30" spans="1:16" x14ac:dyDescent="0.25">
      <c r="A30" s="3">
        <v>46171</v>
      </c>
      <c r="B30" s="2">
        <v>205</v>
      </c>
      <c r="C30" s="6">
        <v>9</v>
      </c>
      <c r="D30" s="2">
        <f t="shared" si="0"/>
        <v>196</v>
      </c>
      <c r="E30" s="5">
        <v>119</v>
      </c>
      <c r="F30" s="2">
        <f t="shared" si="1"/>
        <v>77</v>
      </c>
      <c r="G30" s="10">
        <f t="shared" si="2"/>
        <v>0.6071428571428571</v>
      </c>
      <c r="P30" s="11"/>
    </row>
    <row r="31" spans="1:16" x14ac:dyDescent="0.25">
      <c r="A31" s="3">
        <v>46172</v>
      </c>
      <c r="B31" s="2">
        <v>205</v>
      </c>
      <c r="C31" s="6">
        <v>9</v>
      </c>
      <c r="D31" s="2">
        <f t="shared" si="0"/>
        <v>196</v>
      </c>
      <c r="E31" s="5">
        <v>87</v>
      </c>
      <c r="F31" s="2">
        <f t="shared" si="1"/>
        <v>109</v>
      </c>
      <c r="G31" s="10">
        <f t="shared" si="2"/>
        <v>0.44387755102040816</v>
      </c>
      <c r="P31" s="11"/>
    </row>
    <row r="32" spans="1:16" x14ac:dyDescent="0.25">
      <c r="A32" s="3">
        <v>46173</v>
      </c>
      <c r="B32" s="2">
        <v>205</v>
      </c>
      <c r="C32" s="6">
        <v>9</v>
      </c>
      <c r="D32" s="2">
        <f t="shared" si="0"/>
        <v>196</v>
      </c>
      <c r="E32" s="5">
        <v>65</v>
      </c>
      <c r="F32" s="2">
        <f t="shared" si="1"/>
        <v>131</v>
      </c>
      <c r="G32" s="10">
        <f t="shared" si="2"/>
        <v>0.33163265306122447</v>
      </c>
      <c r="P32" s="11"/>
    </row>
    <row r="33" spans="3:5" x14ac:dyDescent="0.25">
      <c r="C33" s="12">
        <f>SUM(C2:C32)</f>
        <v>279</v>
      </c>
      <c r="E33" s="13">
        <f>SUM(E2:E32)</f>
        <v>4194</v>
      </c>
    </row>
  </sheetData>
  <conditionalFormatting sqref="P2:P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4F16-9ED2-4236-8577-D61350665122}">
  <dimension ref="A1:P32"/>
  <sheetViews>
    <sheetView showGridLines="0" zoomScaleNormal="100" workbookViewId="0">
      <selection activeCell="C35" sqref="C35"/>
    </sheetView>
  </sheetViews>
  <sheetFormatPr defaultRowHeight="15" x14ac:dyDescent="0.25"/>
  <cols>
    <col min="1" max="5" width="15.7109375" customWidth="1"/>
    <col min="6" max="6" width="19.140625" bestFit="1" customWidth="1"/>
    <col min="7" max="16" width="15.7109375" customWidth="1"/>
  </cols>
  <sheetData>
    <row r="1" spans="1:16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16" x14ac:dyDescent="0.25">
      <c r="A2" s="3">
        <v>46174</v>
      </c>
      <c r="B2" s="2">
        <v>205</v>
      </c>
      <c r="C2" s="6">
        <v>9</v>
      </c>
      <c r="D2" s="2">
        <f>B2-C2</f>
        <v>196</v>
      </c>
      <c r="E2" s="5">
        <v>64</v>
      </c>
      <c r="F2" s="2">
        <f>D2-E2</f>
        <v>132</v>
      </c>
      <c r="G2" s="10">
        <f>E2/D2</f>
        <v>0.32653061224489793</v>
      </c>
      <c r="P2" s="11"/>
    </row>
    <row r="3" spans="1:16" x14ac:dyDescent="0.25">
      <c r="A3" s="3">
        <v>46175</v>
      </c>
      <c r="B3" s="2">
        <v>205</v>
      </c>
      <c r="C3" s="6">
        <v>9</v>
      </c>
      <c r="D3" s="2">
        <f t="shared" ref="D3:D31" si="0">B3-C3</f>
        <v>196</v>
      </c>
      <c r="E3" s="5">
        <v>51</v>
      </c>
      <c r="F3" s="2">
        <f t="shared" ref="F3:F31" si="1">D3-E3</f>
        <v>145</v>
      </c>
      <c r="G3" s="10">
        <f t="shared" ref="G3:G31" si="2">E3/D3</f>
        <v>0.26020408163265307</v>
      </c>
      <c r="P3" s="11"/>
    </row>
    <row r="4" spans="1:16" x14ac:dyDescent="0.25">
      <c r="A4" s="3">
        <v>46176</v>
      </c>
      <c r="B4" s="2">
        <v>205</v>
      </c>
      <c r="C4" s="6">
        <v>9</v>
      </c>
      <c r="D4" s="2">
        <f t="shared" si="0"/>
        <v>196</v>
      </c>
      <c r="E4" s="5">
        <v>55</v>
      </c>
      <c r="F4" s="2">
        <f t="shared" si="1"/>
        <v>141</v>
      </c>
      <c r="G4" s="10">
        <f t="shared" si="2"/>
        <v>0.28061224489795916</v>
      </c>
      <c r="P4" s="11"/>
    </row>
    <row r="5" spans="1:16" x14ac:dyDescent="0.25">
      <c r="A5" s="3">
        <v>46177</v>
      </c>
      <c r="B5" s="2">
        <v>205</v>
      </c>
      <c r="C5" s="6">
        <v>9</v>
      </c>
      <c r="D5" s="2">
        <f t="shared" si="0"/>
        <v>196</v>
      </c>
      <c r="E5" s="5">
        <v>64</v>
      </c>
      <c r="F5" s="2">
        <f t="shared" si="1"/>
        <v>132</v>
      </c>
      <c r="G5" s="10">
        <f t="shared" si="2"/>
        <v>0.32653061224489793</v>
      </c>
      <c r="P5" s="11"/>
    </row>
    <row r="6" spans="1:16" x14ac:dyDescent="0.25">
      <c r="A6" s="3">
        <v>46178</v>
      </c>
      <c r="B6" s="2">
        <v>205</v>
      </c>
      <c r="C6" s="6">
        <v>9</v>
      </c>
      <c r="D6" s="2">
        <f t="shared" si="0"/>
        <v>196</v>
      </c>
      <c r="E6" s="5">
        <v>53</v>
      </c>
      <c r="F6" s="2">
        <f t="shared" si="1"/>
        <v>143</v>
      </c>
      <c r="G6" s="10">
        <f t="shared" si="2"/>
        <v>0.27040816326530615</v>
      </c>
      <c r="P6" s="11"/>
    </row>
    <row r="7" spans="1:16" x14ac:dyDescent="0.25">
      <c r="A7" s="3">
        <v>46179</v>
      </c>
      <c r="B7" s="2">
        <v>205</v>
      </c>
      <c r="C7" s="6">
        <v>9</v>
      </c>
      <c r="D7" s="2">
        <f t="shared" si="0"/>
        <v>196</v>
      </c>
      <c r="E7" s="5">
        <v>84</v>
      </c>
      <c r="F7" s="2">
        <f t="shared" si="1"/>
        <v>112</v>
      </c>
      <c r="G7" s="10">
        <f t="shared" si="2"/>
        <v>0.42857142857142855</v>
      </c>
      <c r="P7" s="11"/>
    </row>
    <row r="8" spans="1:16" x14ac:dyDescent="0.25">
      <c r="A8" s="3">
        <v>46180</v>
      </c>
      <c r="B8" s="2">
        <v>205</v>
      </c>
      <c r="C8" s="6">
        <v>9</v>
      </c>
      <c r="D8" s="2">
        <f t="shared" si="0"/>
        <v>196</v>
      </c>
      <c r="E8" s="5">
        <v>84</v>
      </c>
      <c r="F8" s="2">
        <f t="shared" si="1"/>
        <v>112</v>
      </c>
      <c r="G8" s="10">
        <f t="shared" si="2"/>
        <v>0.42857142857142855</v>
      </c>
      <c r="P8" s="11"/>
    </row>
    <row r="9" spans="1:16" x14ac:dyDescent="0.25">
      <c r="A9" s="3">
        <v>46181</v>
      </c>
      <c r="B9" s="2">
        <v>205</v>
      </c>
      <c r="C9" s="6">
        <v>9</v>
      </c>
      <c r="D9" s="2">
        <f t="shared" si="0"/>
        <v>196</v>
      </c>
      <c r="E9" s="5">
        <v>83</v>
      </c>
      <c r="F9" s="2">
        <f t="shared" si="1"/>
        <v>113</v>
      </c>
      <c r="G9" s="10">
        <f t="shared" si="2"/>
        <v>0.42346938775510207</v>
      </c>
      <c r="P9" s="11"/>
    </row>
    <row r="10" spans="1:16" x14ac:dyDescent="0.25">
      <c r="A10" s="3">
        <v>46182</v>
      </c>
      <c r="B10" s="2">
        <v>205</v>
      </c>
      <c r="C10" s="6">
        <v>9</v>
      </c>
      <c r="D10" s="2">
        <f t="shared" si="0"/>
        <v>196</v>
      </c>
      <c r="E10" s="5">
        <v>102</v>
      </c>
      <c r="F10" s="2">
        <f t="shared" si="1"/>
        <v>94</v>
      </c>
      <c r="G10" s="10">
        <f t="shared" si="2"/>
        <v>0.52040816326530615</v>
      </c>
      <c r="P10" s="11"/>
    </row>
    <row r="11" spans="1:16" x14ac:dyDescent="0.25">
      <c r="A11" s="3">
        <v>46183</v>
      </c>
      <c r="B11" s="2">
        <v>205</v>
      </c>
      <c r="C11" s="6">
        <v>9</v>
      </c>
      <c r="D11" s="2">
        <f t="shared" si="0"/>
        <v>196</v>
      </c>
      <c r="E11" s="5">
        <v>106</v>
      </c>
      <c r="F11" s="2">
        <f t="shared" si="1"/>
        <v>90</v>
      </c>
      <c r="G11" s="10">
        <f t="shared" si="2"/>
        <v>0.54081632653061229</v>
      </c>
      <c r="P11" s="11"/>
    </row>
    <row r="12" spans="1:16" x14ac:dyDescent="0.25">
      <c r="A12" s="3">
        <v>46184</v>
      </c>
      <c r="B12" s="2">
        <v>205</v>
      </c>
      <c r="C12" s="6">
        <v>9</v>
      </c>
      <c r="D12" s="2">
        <f t="shared" si="0"/>
        <v>196</v>
      </c>
      <c r="E12" s="5">
        <v>122</v>
      </c>
      <c r="F12" s="2">
        <f t="shared" si="1"/>
        <v>74</v>
      </c>
      <c r="G12" s="10">
        <f t="shared" si="2"/>
        <v>0.62244897959183676</v>
      </c>
      <c r="P12" s="11"/>
    </row>
    <row r="13" spans="1:16" x14ac:dyDescent="0.25">
      <c r="A13" s="3">
        <v>46185</v>
      </c>
      <c r="B13" s="2">
        <v>205</v>
      </c>
      <c r="C13" s="6">
        <v>9</v>
      </c>
      <c r="D13" s="2">
        <f t="shared" si="0"/>
        <v>196</v>
      </c>
      <c r="E13" s="5">
        <v>134</v>
      </c>
      <c r="F13" s="2">
        <f t="shared" si="1"/>
        <v>62</v>
      </c>
      <c r="G13" s="10">
        <f t="shared" si="2"/>
        <v>0.68367346938775508</v>
      </c>
      <c r="P13" s="11"/>
    </row>
    <row r="14" spans="1:16" x14ac:dyDescent="0.25">
      <c r="A14" s="3">
        <v>46186</v>
      </c>
      <c r="B14" s="2">
        <v>205</v>
      </c>
      <c r="C14" s="6">
        <v>9</v>
      </c>
      <c r="D14" s="2">
        <f t="shared" si="0"/>
        <v>196</v>
      </c>
      <c r="E14" s="5">
        <v>117</v>
      </c>
      <c r="F14" s="2">
        <f t="shared" si="1"/>
        <v>79</v>
      </c>
      <c r="G14" s="10">
        <f t="shared" si="2"/>
        <v>0.59693877551020413</v>
      </c>
      <c r="P14" s="11"/>
    </row>
    <row r="15" spans="1:16" x14ac:dyDescent="0.25">
      <c r="A15" s="3">
        <v>46187</v>
      </c>
      <c r="B15" s="2">
        <v>205</v>
      </c>
      <c r="C15" s="6">
        <v>9</v>
      </c>
      <c r="D15" s="2">
        <f t="shared" si="0"/>
        <v>196</v>
      </c>
      <c r="E15" s="5">
        <v>122</v>
      </c>
      <c r="F15" s="2">
        <f t="shared" si="1"/>
        <v>74</v>
      </c>
      <c r="G15" s="10">
        <f t="shared" si="2"/>
        <v>0.62244897959183676</v>
      </c>
      <c r="P15" s="11"/>
    </row>
    <row r="16" spans="1:16" x14ac:dyDescent="0.25">
      <c r="A16" s="3">
        <v>46188</v>
      </c>
      <c r="B16" s="2">
        <v>205</v>
      </c>
      <c r="C16" s="6">
        <v>9</v>
      </c>
      <c r="D16" s="2">
        <f t="shared" si="0"/>
        <v>196</v>
      </c>
      <c r="E16" s="5">
        <v>128</v>
      </c>
      <c r="F16" s="2">
        <f t="shared" si="1"/>
        <v>68</v>
      </c>
      <c r="G16" s="10">
        <f t="shared" si="2"/>
        <v>0.65306122448979587</v>
      </c>
      <c r="P16" s="11"/>
    </row>
    <row r="17" spans="1:16" x14ac:dyDescent="0.25">
      <c r="A17" s="3">
        <v>46189</v>
      </c>
      <c r="B17" s="2">
        <v>205</v>
      </c>
      <c r="C17" s="6">
        <v>9</v>
      </c>
      <c r="D17" s="2">
        <f t="shared" si="0"/>
        <v>196</v>
      </c>
      <c r="E17" s="5">
        <v>124</v>
      </c>
      <c r="F17" s="2">
        <f t="shared" si="1"/>
        <v>72</v>
      </c>
      <c r="G17" s="10">
        <f t="shared" si="2"/>
        <v>0.63265306122448983</v>
      </c>
      <c r="P17" s="11"/>
    </row>
    <row r="18" spans="1:16" x14ac:dyDescent="0.25">
      <c r="A18" s="3">
        <v>46190</v>
      </c>
      <c r="B18" s="2">
        <v>205</v>
      </c>
      <c r="C18" s="6">
        <v>9</v>
      </c>
      <c r="D18" s="2">
        <f t="shared" si="0"/>
        <v>196</v>
      </c>
      <c r="E18" s="5">
        <v>111</v>
      </c>
      <c r="F18" s="2">
        <f t="shared" si="1"/>
        <v>85</v>
      </c>
      <c r="G18" s="10">
        <f t="shared" si="2"/>
        <v>0.56632653061224492</v>
      </c>
      <c r="P18" s="11"/>
    </row>
    <row r="19" spans="1:16" x14ac:dyDescent="0.25">
      <c r="A19" s="3">
        <v>46191</v>
      </c>
      <c r="B19" s="2">
        <v>205</v>
      </c>
      <c r="C19" s="6">
        <v>9</v>
      </c>
      <c r="D19" s="2">
        <f t="shared" si="0"/>
        <v>196</v>
      </c>
      <c r="E19" s="5">
        <v>99</v>
      </c>
      <c r="F19" s="2">
        <f t="shared" si="1"/>
        <v>97</v>
      </c>
      <c r="G19" s="10">
        <f t="shared" si="2"/>
        <v>0.50510204081632648</v>
      </c>
      <c r="P19" s="11"/>
    </row>
    <row r="20" spans="1:16" x14ac:dyDescent="0.25">
      <c r="A20" s="3">
        <v>46192</v>
      </c>
      <c r="B20" s="2">
        <v>205</v>
      </c>
      <c r="C20" s="6">
        <v>9</v>
      </c>
      <c r="D20" s="2">
        <f t="shared" si="0"/>
        <v>196</v>
      </c>
      <c r="E20" s="5">
        <v>85</v>
      </c>
      <c r="F20" s="2">
        <f t="shared" si="1"/>
        <v>111</v>
      </c>
      <c r="G20" s="10">
        <f t="shared" si="2"/>
        <v>0.43367346938775508</v>
      </c>
      <c r="P20" s="11"/>
    </row>
    <row r="21" spans="1:16" x14ac:dyDescent="0.25">
      <c r="A21" s="3">
        <v>46193</v>
      </c>
      <c r="B21" s="2">
        <v>205</v>
      </c>
      <c r="C21" s="6">
        <v>9</v>
      </c>
      <c r="D21" s="2">
        <f t="shared" si="0"/>
        <v>196</v>
      </c>
      <c r="E21" s="5">
        <v>86</v>
      </c>
      <c r="F21" s="2">
        <f t="shared" si="1"/>
        <v>110</v>
      </c>
      <c r="G21" s="10">
        <f t="shared" si="2"/>
        <v>0.43877551020408162</v>
      </c>
      <c r="P21" s="11"/>
    </row>
    <row r="22" spans="1:16" x14ac:dyDescent="0.25">
      <c r="A22" s="3">
        <v>46194</v>
      </c>
      <c r="B22" s="2">
        <v>205</v>
      </c>
      <c r="C22" s="6">
        <v>9</v>
      </c>
      <c r="D22" s="2">
        <f t="shared" si="0"/>
        <v>196</v>
      </c>
      <c r="E22" s="5">
        <v>86</v>
      </c>
      <c r="F22" s="2">
        <f t="shared" si="1"/>
        <v>110</v>
      </c>
      <c r="G22" s="10">
        <f t="shared" si="2"/>
        <v>0.43877551020408162</v>
      </c>
      <c r="P22" s="11"/>
    </row>
    <row r="23" spans="1:16" x14ac:dyDescent="0.25">
      <c r="A23" s="3">
        <v>46195</v>
      </c>
      <c r="B23" s="2">
        <v>205</v>
      </c>
      <c r="C23" s="6">
        <v>9</v>
      </c>
      <c r="D23" s="2">
        <f t="shared" si="0"/>
        <v>196</v>
      </c>
      <c r="E23" s="5">
        <v>82</v>
      </c>
      <c r="F23" s="2">
        <f t="shared" si="1"/>
        <v>114</v>
      </c>
      <c r="G23" s="10">
        <f t="shared" si="2"/>
        <v>0.41836734693877553</v>
      </c>
      <c r="P23" s="11"/>
    </row>
    <row r="24" spans="1:16" x14ac:dyDescent="0.25">
      <c r="A24" s="3">
        <v>46196</v>
      </c>
      <c r="B24" s="2">
        <v>205</v>
      </c>
      <c r="C24" s="6">
        <v>9</v>
      </c>
      <c r="D24" s="2">
        <f t="shared" si="0"/>
        <v>196</v>
      </c>
      <c r="E24" s="5">
        <v>79</v>
      </c>
      <c r="F24" s="2">
        <f t="shared" si="1"/>
        <v>117</v>
      </c>
      <c r="G24" s="10">
        <f t="shared" si="2"/>
        <v>0.40306122448979592</v>
      </c>
      <c r="P24" s="11"/>
    </row>
    <row r="25" spans="1:16" x14ac:dyDescent="0.25">
      <c r="A25" s="3">
        <v>46197</v>
      </c>
      <c r="B25" s="2">
        <v>205</v>
      </c>
      <c r="C25" s="6">
        <v>9</v>
      </c>
      <c r="D25" s="2">
        <f t="shared" si="0"/>
        <v>196</v>
      </c>
      <c r="E25" s="5">
        <v>78</v>
      </c>
      <c r="F25" s="2">
        <f t="shared" si="1"/>
        <v>118</v>
      </c>
      <c r="G25" s="10">
        <f t="shared" si="2"/>
        <v>0.39795918367346939</v>
      </c>
      <c r="P25" s="11"/>
    </row>
    <row r="26" spans="1:16" x14ac:dyDescent="0.25">
      <c r="A26" s="3">
        <v>46198</v>
      </c>
      <c r="B26" s="2">
        <v>205</v>
      </c>
      <c r="C26" s="6">
        <v>9</v>
      </c>
      <c r="D26" s="2">
        <f t="shared" si="0"/>
        <v>196</v>
      </c>
      <c r="E26" s="5">
        <v>76</v>
      </c>
      <c r="F26" s="2">
        <f t="shared" si="1"/>
        <v>120</v>
      </c>
      <c r="G26" s="10">
        <f t="shared" si="2"/>
        <v>0.38775510204081631</v>
      </c>
      <c r="P26" s="11"/>
    </row>
    <row r="27" spans="1:16" x14ac:dyDescent="0.25">
      <c r="A27" s="3">
        <v>46199</v>
      </c>
      <c r="B27" s="2">
        <v>205</v>
      </c>
      <c r="C27" s="6">
        <v>9</v>
      </c>
      <c r="D27" s="2">
        <f t="shared" si="0"/>
        <v>196</v>
      </c>
      <c r="E27" s="5">
        <v>71</v>
      </c>
      <c r="F27" s="2">
        <f t="shared" si="1"/>
        <v>125</v>
      </c>
      <c r="G27" s="10">
        <f t="shared" si="2"/>
        <v>0.36224489795918369</v>
      </c>
      <c r="P27" s="11"/>
    </row>
    <row r="28" spans="1:16" x14ac:dyDescent="0.25">
      <c r="A28" s="3">
        <v>46200</v>
      </c>
      <c r="B28" s="2">
        <v>205</v>
      </c>
      <c r="C28" s="6">
        <v>9</v>
      </c>
      <c r="D28" s="2">
        <f t="shared" si="0"/>
        <v>196</v>
      </c>
      <c r="E28" s="5">
        <v>48</v>
      </c>
      <c r="F28" s="2">
        <f t="shared" si="1"/>
        <v>148</v>
      </c>
      <c r="G28" s="10">
        <f t="shared" si="2"/>
        <v>0.24489795918367346</v>
      </c>
      <c r="P28" s="11"/>
    </row>
    <row r="29" spans="1:16" x14ac:dyDescent="0.25">
      <c r="A29" s="3">
        <v>46201</v>
      </c>
      <c r="B29" s="2">
        <v>205</v>
      </c>
      <c r="C29" s="6">
        <v>9</v>
      </c>
      <c r="D29" s="2">
        <f t="shared" si="0"/>
        <v>196</v>
      </c>
      <c r="E29" s="5">
        <v>35</v>
      </c>
      <c r="F29" s="2">
        <f t="shared" si="1"/>
        <v>161</v>
      </c>
      <c r="G29" s="10">
        <f t="shared" si="2"/>
        <v>0.17857142857142858</v>
      </c>
      <c r="P29" s="11"/>
    </row>
    <row r="30" spans="1:16" x14ac:dyDescent="0.25">
      <c r="A30" s="3">
        <v>46202</v>
      </c>
      <c r="B30" s="2">
        <v>205</v>
      </c>
      <c r="C30" s="6">
        <v>9</v>
      </c>
      <c r="D30" s="2">
        <f t="shared" si="0"/>
        <v>196</v>
      </c>
      <c r="E30" s="5">
        <v>33</v>
      </c>
      <c r="F30" s="2">
        <f t="shared" si="1"/>
        <v>163</v>
      </c>
      <c r="G30" s="10">
        <f t="shared" si="2"/>
        <v>0.1683673469387755</v>
      </c>
      <c r="P30" s="11"/>
    </row>
    <row r="31" spans="1:16" x14ac:dyDescent="0.25">
      <c r="A31" s="3">
        <v>46203</v>
      </c>
      <c r="B31" s="2">
        <v>205</v>
      </c>
      <c r="C31" s="6">
        <v>9</v>
      </c>
      <c r="D31" s="2">
        <f t="shared" si="0"/>
        <v>196</v>
      </c>
      <c r="E31" s="5">
        <v>29</v>
      </c>
      <c r="F31" s="2">
        <f t="shared" si="1"/>
        <v>167</v>
      </c>
      <c r="G31" s="10">
        <f t="shared" si="2"/>
        <v>0.14795918367346939</v>
      </c>
      <c r="P31" s="11"/>
    </row>
    <row r="32" spans="1:16" x14ac:dyDescent="0.25">
      <c r="C32" s="12">
        <f>SUM(C2:C31)</f>
        <v>270</v>
      </c>
      <c r="E32" s="13">
        <f>SUM(E2:E31)</f>
        <v>2491</v>
      </c>
    </row>
  </sheetData>
  <conditionalFormatting sqref="P2:P3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96B5-6469-40B7-BB7D-EFFCF5490F6E}">
  <dimension ref="A1:P33"/>
  <sheetViews>
    <sheetView showGridLines="0" zoomScaleNormal="100" workbookViewId="0">
      <selection activeCell="E2" sqref="E2:E32"/>
    </sheetView>
  </sheetViews>
  <sheetFormatPr defaultRowHeight="15" x14ac:dyDescent="0.25"/>
  <cols>
    <col min="1" max="5" width="15.7109375" customWidth="1"/>
    <col min="6" max="6" width="19.140625" bestFit="1" customWidth="1"/>
    <col min="7" max="16" width="15.7109375" customWidth="1"/>
  </cols>
  <sheetData>
    <row r="1" spans="1:16" ht="23.2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</row>
    <row r="2" spans="1:16" x14ac:dyDescent="0.25">
      <c r="A2" s="3">
        <v>46204</v>
      </c>
      <c r="B2" s="2">
        <v>205</v>
      </c>
      <c r="C2" s="6">
        <v>7</v>
      </c>
      <c r="D2" s="2">
        <f>B2-C2</f>
        <v>198</v>
      </c>
      <c r="E2" s="5">
        <v>109</v>
      </c>
      <c r="F2" s="2">
        <f>D2-E2</f>
        <v>89</v>
      </c>
      <c r="G2" s="10">
        <f>E2/D2</f>
        <v>0.5505050505050505</v>
      </c>
      <c r="P2" s="11"/>
    </row>
    <row r="3" spans="1:16" x14ac:dyDescent="0.25">
      <c r="A3" s="3">
        <v>46205</v>
      </c>
      <c r="B3" s="2">
        <v>205</v>
      </c>
      <c r="C3" s="6">
        <v>7</v>
      </c>
      <c r="D3" s="2">
        <f t="shared" ref="D3:D32" si="0">B3-C3</f>
        <v>198</v>
      </c>
      <c r="E3" s="5">
        <v>115</v>
      </c>
      <c r="F3" s="2">
        <f t="shared" ref="F3:F32" si="1">D3-E3</f>
        <v>83</v>
      </c>
      <c r="G3" s="10">
        <f t="shared" ref="G3:G32" si="2">E3/D3</f>
        <v>0.58080808080808077</v>
      </c>
      <c r="P3" s="11"/>
    </row>
    <row r="4" spans="1:16" x14ac:dyDescent="0.25">
      <c r="A4" s="3">
        <v>46206</v>
      </c>
      <c r="B4" s="2">
        <v>205</v>
      </c>
      <c r="C4" s="6">
        <v>7</v>
      </c>
      <c r="D4" s="2">
        <f t="shared" si="0"/>
        <v>198</v>
      </c>
      <c r="E4" s="5">
        <v>125</v>
      </c>
      <c r="F4" s="2">
        <f t="shared" si="1"/>
        <v>73</v>
      </c>
      <c r="G4" s="10">
        <f t="shared" si="2"/>
        <v>0.63131313131313127</v>
      </c>
      <c r="P4" s="11"/>
    </row>
    <row r="5" spans="1:16" x14ac:dyDescent="0.25">
      <c r="A5" s="3">
        <v>46207</v>
      </c>
      <c r="B5" s="2">
        <v>205</v>
      </c>
      <c r="C5" s="6">
        <v>7</v>
      </c>
      <c r="D5" s="2">
        <f t="shared" si="0"/>
        <v>198</v>
      </c>
      <c r="E5" s="5">
        <v>108</v>
      </c>
      <c r="F5" s="2">
        <f t="shared" si="1"/>
        <v>90</v>
      </c>
      <c r="G5" s="10">
        <f t="shared" si="2"/>
        <v>0.54545454545454541</v>
      </c>
      <c r="P5" s="11"/>
    </row>
    <row r="6" spans="1:16" x14ac:dyDescent="0.25">
      <c r="A6" s="3">
        <v>46208</v>
      </c>
      <c r="B6" s="2">
        <v>205</v>
      </c>
      <c r="C6" s="6">
        <v>7</v>
      </c>
      <c r="D6" s="2">
        <f t="shared" si="0"/>
        <v>198</v>
      </c>
      <c r="E6" s="5">
        <v>118</v>
      </c>
      <c r="F6" s="2">
        <f t="shared" si="1"/>
        <v>80</v>
      </c>
      <c r="G6" s="10">
        <f t="shared" si="2"/>
        <v>0.59595959595959591</v>
      </c>
      <c r="P6" s="11"/>
    </row>
    <row r="7" spans="1:16" x14ac:dyDescent="0.25">
      <c r="A7" s="3">
        <v>46209</v>
      </c>
      <c r="B7" s="2">
        <v>205</v>
      </c>
      <c r="C7" s="6">
        <v>7</v>
      </c>
      <c r="D7" s="2">
        <f t="shared" si="0"/>
        <v>198</v>
      </c>
      <c r="E7" s="5">
        <v>122</v>
      </c>
      <c r="F7" s="2">
        <f t="shared" si="1"/>
        <v>76</v>
      </c>
      <c r="G7" s="10">
        <f t="shared" si="2"/>
        <v>0.61616161616161613</v>
      </c>
      <c r="P7" s="11"/>
    </row>
    <row r="8" spans="1:16" x14ac:dyDescent="0.25">
      <c r="A8" s="3">
        <v>46210</v>
      </c>
      <c r="B8" s="2">
        <v>205</v>
      </c>
      <c r="C8" s="6">
        <v>7</v>
      </c>
      <c r="D8" s="2">
        <f t="shared" si="0"/>
        <v>198</v>
      </c>
      <c r="E8" s="5">
        <v>124</v>
      </c>
      <c r="F8" s="2">
        <f t="shared" si="1"/>
        <v>74</v>
      </c>
      <c r="G8" s="10">
        <f t="shared" si="2"/>
        <v>0.6262626262626263</v>
      </c>
      <c r="P8" s="11"/>
    </row>
    <row r="9" spans="1:16" x14ac:dyDescent="0.25">
      <c r="A9" s="3">
        <v>46211</v>
      </c>
      <c r="B9" s="2">
        <v>205</v>
      </c>
      <c r="C9" s="6">
        <v>7</v>
      </c>
      <c r="D9" s="2">
        <f t="shared" si="0"/>
        <v>198</v>
      </c>
      <c r="E9" s="5">
        <v>128</v>
      </c>
      <c r="F9" s="2">
        <f t="shared" si="1"/>
        <v>70</v>
      </c>
      <c r="G9" s="10">
        <f t="shared" si="2"/>
        <v>0.64646464646464652</v>
      </c>
      <c r="P9" s="11"/>
    </row>
    <row r="10" spans="1:16" x14ac:dyDescent="0.25">
      <c r="A10" s="3">
        <v>46212</v>
      </c>
      <c r="B10" s="2">
        <v>205</v>
      </c>
      <c r="C10" s="6">
        <v>7</v>
      </c>
      <c r="D10" s="2">
        <f t="shared" si="0"/>
        <v>198</v>
      </c>
      <c r="E10" s="5">
        <v>146</v>
      </c>
      <c r="F10" s="2">
        <f t="shared" si="1"/>
        <v>52</v>
      </c>
      <c r="G10" s="10">
        <f t="shared" si="2"/>
        <v>0.73737373737373735</v>
      </c>
      <c r="P10" s="11"/>
    </row>
    <row r="11" spans="1:16" x14ac:dyDescent="0.25">
      <c r="A11" s="3">
        <v>46213</v>
      </c>
      <c r="B11" s="2">
        <v>205</v>
      </c>
      <c r="C11" s="6">
        <v>7</v>
      </c>
      <c r="D11" s="2">
        <f t="shared" si="0"/>
        <v>198</v>
      </c>
      <c r="E11" s="5">
        <v>153</v>
      </c>
      <c r="F11" s="2">
        <f t="shared" si="1"/>
        <v>45</v>
      </c>
      <c r="G11" s="10">
        <f t="shared" si="2"/>
        <v>0.77272727272727271</v>
      </c>
      <c r="P11" s="11"/>
    </row>
    <row r="12" spans="1:16" x14ac:dyDescent="0.25">
      <c r="A12" s="3">
        <v>46214</v>
      </c>
      <c r="B12" s="2">
        <v>205</v>
      </c>
      <c r="C12" s="6">
        <v>7</v>
      </c>
      <c r="D12" s="2">
        <f t="shared" si="0"/>
        <v>198</v>
      </c>
      <c r="E12" s="5">
        <v>154</v>
      </c>
      <c r="F12" s="2">
        <f t="shared" si="1"/>
        <v>44</v>
      </c>
      <c r="G12" s="10">
        <f t="shared" si="2"/>
        <v>0.77777777777777779</v>
      </c>
      <c r="P12" s="11"/>
    </row>
    <row r="13" spans="1:16" x14ac:dyDescent="0.25">
      <c r="A13" s="3">
        <v>46215</v>
      </c>
      <c r="B13" s="2">
        <v>205</v>
      </c>
      <c r="C13" s="6">
        <v>7</v>
      </c>
      <c r="D13" s="2">
        <f t="shared" si="0"/>
        <v>198</v>
      </c>
      <c r="E13" s="5">
        <v>165</v>
      </c>
      <c r="F13" s="2">
        <f t="shared" si="1"/>
        <v>33</v>
      </c>
      <c r="G13" s="10">
        <f t="shared" si="2"/>
        <v>0.83333333333333337</v>
      </c>
      <c r="P13" s="11"/>
    </row>
    <row r="14" spans="1:16" x14ac:dyDescent="0.25">
      <c r="A14" s="3">
        <v>46216</v>
      </c>
      <c r="B14" s="2">
        <v>205</v>
      </c>
      <c r="C14" s="6">
        <v>7</v>
      </c>
      <c r="D14" s="2">
        <f t="shared" si="0"/>
        <v>198</v>
      </c>
      <c r="E14" s="5">
        <v>168</v>
      </c>
      <c r="F14" s="2">
        <f t="shared" si="1"/>
        <v>30</v>
      </c>
      <c r="G14" s="10">
        <f t="shared" si="2"/>
        <v>0.84848484848484851</v>
      </c>
      <c r="P14" s="11"/>
    </row>
    <row r="15" spans="1:16" x14ac:dyDescent="0.25">
      <c r="A15" s="3">
        <v>46217</v>
      </c>
      <c r="B15" s="2">
        <v>205</v>
      </c>
      <c r="C15" s="6">
        <v>7</v>
      </c>
      <c r="D15" s="2">
        <f t="shared" si="0"/>
        <v>198</v>
      </c>
      <c r="E15" s="5">
        <v>158</v>
      </c>
      <c r="F15" s="2">
        <f t="shared" si="1"/>
        <v>40</v>
      </c>
      <c r="G15" s="10">
        <f t="shared" si="2"/>
        <v>0.79797979797979801</v>
      </c>
      <c r="P15" s="11"/>
    </row>
    <row r="16" spans="1:16" x14ac:dyDescent="0.25">
      <c r="A16" s="3">
        <v>46218</v>
      </c>
      <c r="B16" s="2">
        <v>205</v>
      </c>
      <c r="C16" s="6">
        <v>7</v>
      </c>
      <c r="D16" s="2">
        <f t="shared" si="0"/>
        <v>198</v>
      </c>
      <c r="E16" s="5">
        <v>162</v>
      </c>
      <c r="F16" s="2">
        <f t="shared" si="1"/>
        <v>36</v>
      </c>
      <c r="G16" s="10">
        <f t="shared" si="2"/>
        <v>0.81818181818181823</v>
      </c>
      <c r="P16" s="11"/>
    </row>
    <row r="17" spans="1:16" x14ac:dyDescent="0.25">
      <c r="A17" s="3">
        <v>46219</v>
      </c>
      <c r="B17" s="2">
        <v>205</v>
      </c>
      <c r="C17" s="6">
        <v>7</v>
      </c>
      <c r="D17" s="2">
        <f t="shared" si="0"/>
        <v>198</v>
      </c>
      <c r="E17" s="5">
        <v>164</v>
      </c>
      <c r="F17" s="2">
        <f t="shared" si="1"/>
        <v>34</v>
      </c>
      <c r="G17" s="10">
        <f t="shared" si="2"/>
        <v>0.82828282828282829</v>
      </c>
      <c r="P17" s="11"/>
    </row>
    <row r="18" spans="1:16" x14ac:dyDescent="0.25">
      <c r="A18" s="3">
        <v>46220</v>
      </c>
      <c r="B18" s="2">
        <v>205</v>
      </c>
      <c r="C18" s="6">
        <v>7</v>
      </c>
      <c r="D18" s="2">
        <f t="shared" si="0"/>
        <v>198</v>
      </c>
      <c r="E18" s="5">
        <v>164</v>
      </c>
      <c r="F18" s="2">
        <f t="shared" si="1"/>
        <v>34</v>
      </c>
      <c r="G18" s="10">
        <f t="shared" si="2"/>
        <v>0.82828282828282829</v>
      </c>
      <c r="P18" s="11"/>
    </row>
    <row r="19" spans="1:16" x14ac:dyDescent="0.25">
      <c r="A19" s="3">
        <v>46221</v>
      </c>
      <c r="B19" s="2">
        <v>205</v>
      </c>
      <c r="C19" s="6">
        <v>7</v>
      </c>
      <c r="D19" s="2">
        <f t="shared" si="0"/>
        <v>198</v>
      </c>
      <c r="E19" s="5">
        <v>169</v>
      </c>
      <c r="F19" s="2">
        <f t="shared" si="1"/>
        <v>29</v>
      </c>
      <c r="G19" s="10">
        <f t="shared" si="2"/>
        <v>0.85353535353535348</v>
      </c>
      <c r="P19" s="11"/>
    </row>
    <row r="20" spans="1:16" x14ac:dyDescent="0.25">
      <c r="A20" s="3">
        <v>46222</v>
      </c>
      <c r="B20" s="2">
        <v>205</v>
      </c>
      <c r="C20" s="6">
        <v>7</v>
      </c>
      <c r="D20" s="2">
        <f t="shared" si="0"/>
        <v>198</v>
      </c>
      <c r="E20" s="5">
        <v>174</v>
      </c>
      <c r="F20" s="2">
        <f t="shared" si="1"/>
        <v>24</v>
      </c>
      <c r="G20" s="10">
        <f t="shared" si="2"/>
        <v>0.87878787878787878</v>
      </c>
      <c r="P20" s="11"/>
    </row>
    <row r="21" spans="1:16" x14ac:dyDescent="0.25">
      <c r="A21" s="3">
        <v>46223</v>
      </c>
      <c r="B21" s="2">
        <v>205</v>
      </c>
      <c r="C21" s="6">
        <v>7</v>
      </c>
      <c r="D21" s="2">
        <f t="shared" si="0"/>
        <v>198</v>
      </c>
      <c r="E21" s="5">
        <v>170</v>
      </c>
      <c r="F21" s="2">
        <f t="shared" si="1"/>
        <v>28</v>
      </c>
      <c r="G21" s="10">
        <f t="shared" si="2"/>
        <v>0.85858585858585856</v>
      </c>
      <c r="P21" s="11"/>
    </row>
    <row r="22" spans="1:16" x14ac:dyDescent="0.25">
      <c r="A22" s="3">
        <v>46224</v>
      </c>
      <c r="B22" s="2">
        <v>205</v>
      </c>
      <c r="C22" s="6">
        <v>7</v>
      </c>
      <c r="D22" s="2">
        <f t="shared" si="0"/>
        <v>198</v>
      </c>
      <c r="E22" s="5">
        <v>171</v>
      </c>
      <c r="F22" s="2">
        <f t="shared" si="1"/>
        <v>27</v>
      </c>
      <c r="G22" s="10">
        <f t="shared" si="2"/>
        <v>0.86363636363636365</v>
      </c>
      <c r="P22" s="11"/>
    </row>
    <row r="23" spans="1:16" x14ac:dyDescent="0.25">
      <c r="A23" s="3">
        <v>46225</v>
      </c>
      <c r="B23" s="2">
        <v>205</v>
      </c>
      <c r="C23" s="6">
        <v>7</v>
      </c>
      <c r="D23" s="2">
        <f t="shared" si="0"/>
        <v>198</v>
      </c>
      <c r="E23" s="5">
        <v>173</v>
      </c>
      <c r="F23" s="2">
        <f t="shared" si="1"/>
        <v>25</v>
      </c>
      <c r="G23" s="10">
        <f t="shared" si="2"/>
        <v>0.8737373737373737</v>
      </c>
      <c r="P23" s="11"/>
    </row>
    <row r="24" spans="1:16" x14ac:dyDescent="0.25">
      <c r="A24" s="3">
        <v>46226</v>
      </c>
      <c r="B24" s="2">
        <v>205</v>
      </c>
      <c r="C24" s="6">
        <v>7</v>
      </c>
      <c r="D24" s="2">
        <f t="shared" si="0"/>
        <v>198</v>
      </c>
      <c r="E24" s="5">
        <v>179</v>
      </c>
      <c r="F24" s="2">
        <f t="shared" si="1"/>
        <v>19</v>
      </c>
      <c r="G24" s="10">
        <f t="shared" si="2"/>
        <v>0.90404040404040409</v>
      </c>
      <c r="P24" s="11"/>
    </row>
    <row r="25" spans="1:16" x14ac:dyDescent="0.25">
      <c r="A25" s="3">
        <v>46227</v>
      </c>
      <c r="B25" s="2">
        <v>205</v>
      </c>
      <c r="C25" s="6">
        <v>7</v>
      </c>
      <c r="D25" s="2">
        <f t="shared" si="0"/>
        <v>198</v>
      </c>
      <c r="E25" s="5">
        <v>177</v>
      </c>
      <c r="F25" s="2">
        <f t="shared" si="1"/>
        <v>21</v>
      </c>
      <c r="G25" s="10">
        <f t="shared" si="2"/>
        <v>0.89393939393939392</v>
      </c>
      <c r="P25" s="11"/>
    </row>
    <row r="26" spans="1:16" x14ac:dyDescent="0.25">
      <c r="A26" s="3">
        <v>46228</v>
      </c>
      <c r="B26" s="2">
        <v>205</v>
      </c>
      <c r="C26" s="6">
        <v>7</v>
      </c>
      <c r="D26" s="2">
        <f t="shared" si="0"/>
        <v>198</v>
      </c>
      <c r="E26" s="5">
        <v>164</v>
      </c>
      <c r="F26" s="2">
        <f t="shared" si="1"/>
        <v>34</v>
      </c>
      <c r="G26" s="10">
        <f t="shared" si="2"/>
        <v>0.82828282828282829</v>
      </c>
      <c r="P26" s="11"/>
    </row>
    <row r="27" spans="1:16" x14ac:dyDescent="0.25">
      <c r="A27" s="3">
        <v>46229</v>
      </c>
      <c r="B27" s="2">
        <v>205</v>
      </c>
      <c r="C27" s="6">
        <v>7</v>
      </c>
      <c r="D27" s="2">
        <f t="shared" si="0"/>
        <v>198</v>
      </c>
      <c r="E27" s="5">
        <v>167</v>
      </c>
      <c r="F27" s="2">
        <f t="shared" si="1"/>
        <v>31</v>
      </c>
      <c r="G27" s="10">
        <f t="shared" si="2"/>
        <v>0.84343434343434343</v>
      </c>
      <c r="P27" s="11"/>
    </row>
    <row r="28" spans="1:16" x14ac:dyDescent="0.25">
      <c r="A28" s="3">
        <v>46230</v>
      </c>
      <c r="B28" s="2">
        <v>205</v>
      </c>
      <c r="C28" s="6">
        <v>7</v>
      </c>
      <c r="D28" s="2">
        <f t="shared" si="0"/>
        <v>198</v>
      </c>
      <c r="E28" s="5">
        <v>157</v>
      </c>
      <c r="F28" s="2">
        <f t="shared" si="1"/>
        <v>41</v>
      </c>
      <c r="G28" s="10">
        <f t="shared" si="2"/>
        <v>0.79292929292929293</v>
      </c>
      <c r="P28" s="11"/>
    </row>
    <row r="29" spans="1:16" x14ac:dyDescent="0.25">
      <c r="A29" s="3">
        <v>46231</v>
      </c>
      <c r="B29" s="2">
        <v>205</v>
      </c>
      <c r="C29" s="6">
        <v>7</v>
      </c>
      <c r="D29" s="2">
        <f t="shared" si="0"/>
        <v>198</v>
      </c>
      <c r="E29" s="5">
        <v>152</v>
      </c>
      <c r="F29" s="2">
        <f t="shared" si="1"/>
        <v>46</v>
      </c>
      <c r="G29" s="10">
        <f t="shared" si="2"/>
        <v>0.76767676767676762</v>
      </c>
      <c r="P29" s="11"/>
    </row>
    <row r="30" spans="1:16" x14ac:dyDescent="0.25">
      <c r="A30" s="3">
        <v>46232</v>
      </c>
      <c r="B30" s="2">
        <v>205</v>
      </c>
      <c r="C30" s="6">
        <v>7</v>
      </c>
      <c r="D30" s="2">
        <f t="shared" si="0"/>
        <v>198</v>
      </c>
      <c r="E30" s="5">
        <v>145</v>
      </c>
      <c r="F30" s="2">
        <f t="shared" si="1"/>
        <v>53</v>
      </c>
      <c r="G30" s="10">
        <f t="shared" si="2"/>
        <v>0.73232323232323238</v>
      </c>
      <c r="P30" s="11"/>
    </row>
    <row r="31" spans="1:16" x14ac:dyDescent="0.25">
      <c r="A31" s="3">
        <v>46233</v>
      </c>
      <c r="B31" s="2">
        <v>205</v>
      </c>
      <c r="C31" s="6">
        <v>7</v>
      </c>
      <c r="D31" s="2">
        <f t="shared" si="0"/>
        <v>198</v>
      </c>
      <c r="E31" s="5">
        <v>129</v>
      </c>
      <c r="F31" s="2">
        <f t="shared" si="1"/>
        <v>69</v>
      </c>
      <c r="G31" s="10">
        <f t="shared" si="2"/>
        <v>0.65151515151515149</v>
      </c>
      <c r="P31" s="11"/>
    </row>
    <row r="32" spans="1:16" x14ac:dyDescent="0.25">
      <c r="A32" s="3">
        <v>46234</v>
      </c>
      <c r="B32" s="2">
        <v>205</v>
      </c>
      <c r="C32" s="6">
        <v>7</v>
      </c>
      <c r="D32" s="2">
        <f t="shared" si="0"/>
        <v>198</v>
      </c>
      <c r="E32" s="5">
        <v>107</v>
      </c>
      <c r="F32" s="2">
        <f t="shared" si="1"/>
        <v>91</v>
      </c>
      <c r="G32" s="10">
        <f t="shared" si="2"/>
        <v>0.54040404040404044</v>
      </c>
      <c r="P32" s="11"/>
    </row>
    <row r="33" spans="3:5" x14ac:dyDescent="0.25">
      <c r="C33" s="12">
        <f>SUM(C2:C32)</f>
        <v>217</v>
      </c>
      <c r="E33" s="13">
        <f>SUM(E2:E32)</f>
        <v>4617</v>
      </c>
    </row>
  </sheetData>
  <conditionalFormatting sqref="P2:P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JUNHO1</vt:lpstr>
      <vt:lpstr>JULHO1</vt:lpstr>
      <vt:lpstr>AGOSTO1</vt:lpstr>
      <vt:lpstr>SETEMBRO</vt:lpstr>
      <vt:lpstr>OUTUBRO</vt:lpstr>
      <vt:lpstr>NOVEMBRO</vt:lpstr>
      <vt:lpstr>DEZEMBRO</vt:lpstr>
      <vt:lpstr>JAN-26</vt:lpstr>
      <vt:lpstr>FEV-26</vt:lpstr>
      <vt:lpstr>MAR-26</vt:lpstr>
      <vt:lpstr>ABR-26</vt:lpstr>
      <vt:lpstr>MAI-26</vt:lpstr>
      <vt:lpstr>JUN-26</vt:lpstr>
      <vt:lpstr>Planilha1</vt:lpstr>
      <vt:lpstr>JUL-26</vt:lpstr>
      <vt:lpstr>AGO-26</vt:lpstr>
      <vt:lpstr>FEVEREIRO</vt:lpstr>
      <vt:lpstr>MARÇO</vt:lpstr>
      <vt:lpstr>ABRIL</vt:lpstr>
      <vt:lpstr>MAIO</vt:lpstr>
      <vt:lpstr>JUNHO</vt:lpstr>
      <vt:lpstr>JULHO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 3 MMR Stheffane</dc:creator>
  <cp:lastModifiedBy>RM 3 MMR Stheffane</cp:lastModifiedBy>
  <dcterms:created xsi:type="dcterms:W3CDTF">2025-06-12T19:48:37Z</dcterms:created>
  <dcterms:modified xsi:type="dcterms:W3CDTF">2026-07-17T13:36:56Z</dcterms:modified>
</cp:coreProperties>
</file>